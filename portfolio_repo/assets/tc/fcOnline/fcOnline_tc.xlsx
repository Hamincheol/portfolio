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hamincheol/Downloads/"/>
    </mc:Choice>
  </mc:AlternateContent>
  <xr:revisionPtr revIDLastSave="0" documentId="13_ncr:1_{B9731736-7693-A349-A40D-31455AFD2FA8}" xr6:coauthVersionLast="47" xr6:coauthVersionMax="47" xr10:uidLastSave="{00000000-0000-0000-0000-000000000000}"/>
  <bookViews>
    <workbookView xWindow="0" yWindow="680" windowWidth="29040" windowHeight="16440" activeTab="2" xr2:uid="{00000000-000D-0000-FFFF-FFFF00000000}"/>
  </bookViews>
  <sheets>
    <sheet name="Overview" sheetId="4" r:id="rId1"/>
    <sheet name="FC온라인_Cases" sheetId="2" r:id="rId2"/>
    <sheet name=" Dashboard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5" l="1" a="1"/>
  <c r="C31" i="5" s="1"/>
  <c r="D31" i="5" s="1"/>
  <c r="C32" i="5" a="1"/>
  <c r="C32" i="5" s="1"/>
  <c r="D32" i="5" s="1"/>
  <c r="C33" i="5" a="1"/>
  <c r="C33" i="5" s="1"/>
  <c r="D33" i="5" s="1"/>
  <c r="C34" i="5" a="1"/>
  <c r="C34" i="5" s="1"/>
  <c r="D34" i="5" s="1"/>
  <c r="C35" i="5" a="1"/>
  <c r="C35" i="5" s="1"/>
  <c r="D35" i="5" s="1"/>
  <c r="C36" i="5" a="1"/>
  <c r="C36" i="5" s="1"/>
  <c r="D36" i="5" s="1"/>
  <c r="C37" i="5" a="1"/>
  <c r="C37" i="5" s="1"/>
  <c r="D37" i="5" s="1"/>
  <c r="C38" i="5" a="1"/>
  <c r="C38" i="5" s="1"/>
  <c r="D38" i="5" s="1"/>
  <c r="C39" i="5" a="1"/>
  <c r="C39" i="5" s="1"/>
  <c r="D39" i="5" s="1"/>
  <c r="C40" i="5" a="1"/>
  <c r="C40" i="5" s="1"/>
  <c r="D40" i="5" s="1"/>
  <c r="C41" i="5" a="1"/>
  <c r="C41" i="5" s="1"/>
  <c r="D41" i="5" s="1"/>
  <c r="C42" i="5" a="1"/>
  <c r="C42" i="5" s="1"/>
  <c r="D42" i="5" s="1"/>
  <c r="C43" i="5" a="1"/>
  <c r="C43" i="5" s="1"/>
  <c r="D43" i="5" s="1"/>
  <c r="C44" i="5" a="1"/>
  <c r="C44" i="5" s="1"/>
  <c r="D44" i="5" s="1"/>
  <c r="C45" i="5" a="1"/>
  <c r="C45" i="5" s="1"/>
  <c r="D45" i="5" s="1"/>
  <c r="C46" i="5" a="1"/>
  <c r="C46" i="5" s="1"/>
  <c r="D46" i="5" s="1"/>
  <c r="C30" i="5" a="1"/>
  <c r="C30" i="5" s="1"/>
  <c r="D30" i="5" s="1"/>
  <c r="B12" i="5"/>
  <c r="B11" i="5"/>
  <c r="B10" i="5"/>
  <c r="B9" i="5"/>
  <c r="B8" i="5"/>
  <c r="B13" i="5"/>
  <c r="B14" i="5"/>
  <c r="B24" i="5"/>
  <c r="B23" i="5"/>
  <c r="C23" i="5" s="1"/>
  <c r="B22" i="5"/>
  <c r="C22" i="5" s="1"/>
  <c r="B21" i="5"/>
  <c r="C21" i="5" s="1"/>
  <c r="B20" i="5"/>
  <c r="C20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3" authorId="0" shapeId="0" xr:uid="{00000000-0006-0000-0100-000001000000}">
      <text>
        <r>
          <rPr>
            <sz val="11"/>
            <color theme="1"/>
            <rFont val="Calibri"/>
            <family val="2"/>
          </rPr>
          <t>Zephyr/Jira 프로젝트 키 또는 교육용 프로젝트 식별자.</t>
        </r>
      </text>
    </comment>
    <comment ref="B3" authorId="0" shapeId="0" xr:uid="{00000000-0006-0000-0100-000002000000}">
      <text>
        <r>
          <rPr>
            <sz val="11"/>
            <color theme="1"/>
            <rFont val="Calibri"/>
            <family val="2"/>
          </rPr>
          <t>Zephyr test repository/folder 개념을 시트 컬럼으로 표현.</t>
        </r>
      </text>
    </comment>
    <comment ref="C3" authorId="0" shapeId="0" xr:uid="{00000000-0006-0000-0100-000003000000}">
      <text>
        <r>
          <rPr>
            <sz val="11"/>
            <color theme="1"/>
            <rFont val="Calibri"/>
            <family val="2"/>
          </rPr>
          <t>하위 폴더 또는 기능 세분화.</t>
        </r>
      </text>
    </comment>
    <comment ref="D3" authorId="0" shapeId="0" xr:uid="{00000000-0006-0000-0100-000004000000}">
      <text>
        <r>
          <rPr>
            <sz val="11"/>
            <color rgb="FF000000"/>
            <rFont val="Calibri"/>
            <family val="2"/>
          </rPr>
          <t>컴포넌트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기준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관리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시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사용</t>
        </r>
        <r>
          <rPr>
            <sz val="11"/>
            <color rgb="FF000000"/>
            <rFont val="Calibri"/>
            <family val="2"/>
          </rPr>
          <t>.</t>
        </r>
      </text>
    </comment>
    <comment ref="E3" authorId="0" shapeId="0" xr:uid="{00000000-0006-0000-0100-000005000000}">
      <text>
        <r>
          <rPr>
            <sz val="11"/>
            <color theme="1"/>
            <rFont val="Calibri"/>
            <family val="2"/>
          </rPr>
          <t>교육용 로컬 식별자. 실제 Jira issue key와는 별개입니다.</t>
        </r>
      </text>
    </comment>
    <comment ref="F3" authorId="0" shapeId="0" xr:uid="{00000000-0006-0000-0100-000006000000}">
      <text>
        <r>
          <rPr>
            <sz val="11"/>
            <color theme="1"/>
            <rFont val="Calibri"/>
            <family val="2"/>
          </rPr>
          <t>Zephyr 계열 공통 테스트 명칭 필드.
URL: https://zephyrdocs.atlassian.net/wiki/spaces/ZE666/pages/1657247617/Adding%2Ba%2BTest%2BCase</t>
        </r>
      </text>
    </comment>
    <comment ref="G3" authorId="0" shapeId="0" xr:uid="{00000000-0006-0000-0100-000007000000}">
      <text>
        <r>
          <rPr>
            <sz val="11"/>
            <color theme="1"/>
            <rFont val="Calibri"/>
            <family val="2"/>
          </rPr>
          <t>Zephyr 계열의 Description/Objective를 통합한 교육용 컬럼.
URL: https://support.smartbear.com/zephyr-scale-cloud/api-docs/</t>
        </r>
      </text>
    </comment>
    <comment ref="H3" authorId="0" shapeId="0" xr:uid="{00000000-0006-0000-0100-000008000000}">
      <text>
        <r>
          <rPr>
            <sz val="11"/>
            <color theme="1"/>
            <rFont val="Calibri"/>
            <family val="2"/>
          </rPr>
          <t>Zephyr 계열 공통 사전조건 필드.
URL: https://support.smartbear.com/zephyr-scale-cloud/api-docs/</t>
        </r>
      </text>
    </comment>
    <comment ref="I3" authorId="0" shapeId="0" xr:uid="{00000000-0006-0000-0100-000009000000}">
      <text>
        <r>
          <rPr>
            <sz val="11"/>
            <color theme="1"/>
            <rFont val="Calibri"/>
            <family val="2"/>
          </rPr>
          <t>Zephyr 계열 우선순위.</t>
        </r>
      </text>
    </comment>
    <comment ref="J3" authorId="0" shapeId="0" xr:uid="{00000000-0006-0000-0100-00000B000000}">
      <text>
        <r>
          <rPr>
            <sz val="11"/>
            <color theme="1"/>
            <rFont val="Calibri"/>
            <family val="2"/>
          </rPr>
          <t>Zephyr Enterprise의 Tags 개념.
URL: https://zephyrdocs.atlassian.net/wiki/spaces/ZE666/pages/1657247617/Adding%2Ba%2BTest%2BCase</t>
        </r>
      </text>
    </comment>
    <comment ref="K3" authorId="0" shapeId="0" xr:uid="{00000000-0006-0000-0100-00000C000000}">
      <text>
        <r>
          <rPr>
            <sz val="11"/>
            <color theme="1"/>
            <rFont val="Calibri"/>
            <family val="2"/>
          </rPr>
          <t>Requirement mapping 또는 Jira 이슈 연결.</t>
        </r>
      </text>
    </comment>
    <comment ref="L3" authorId="0" shapeId="0" xr:uid="{00000000-0006-0000-0100-00000D000000}">
      <text>
        <r>
          <rPr>
            <sz val="11"/>
            <color theme="1"/>
            <rFont val="Calibri"/>
            <family val="2"/>
          </rPr>
          <t>수동/자동화 후보/자동화 완료 상태.</t>
        </r>
      </text>
    </comment>
    <comment ref="N3" authorId="0" shapeId="0" xr:uid="{00000000-0006-0000-0100-00000E000000}">
      <text>
        <r>
          <rPr>
            <sz val="11"/>
            <color theme="1"/>
            <rFont val="Calibri"/>
            <family val="2"/>
          </rPr>
          <t>릴리즈/버전 기준 관리 시 사용.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<sst xmlns="http://schemas.openxmlformats.org/spreadsheetml/2006/main" count="1239" uniqueCount="843">
  <si>
    <t>스크린샷의 구단 관리 &gt; 스쿼드 관리 화면을 기준으로 작성했습니다. 실제 빌드 접근 시 세부 정책과 버전에 맞춰 보완 가능합니다.</t>
  </si>
  <si>
    <t>Project_Key</t>
  </si>
  <si>
    <t>Folder_L1</t>
  </si>
  <si>
    <t>Folder_L2</t>
  </si>
  <si>
    <t>Component</t>
  </si>
  <si>
    <t>Test_Key_Local</t>
  </si>
  <si>
    <t>Name</t>
  </si>
  <si>
    <t>Objective_or_Description</t>
  </si>
  <si>
    <t>Precondition</t>
  </si>
  <si>
    <t>Priority</t>
  </si>
  <si>
    <t>Labels_Tags</t>
  </si>
  <si>
    <t>Comment</t>
  </si>
  <si>
    <t>구단 관리</t>
  </si>
  <si>
    <t>스쿼드 관리</t>
  </si>
  <si>
    <t>FCO-SQD-001</t>
  </si>
  <si>
    <t>High</t>
  </si>
  <si>
    <t>Medium</t>
  </si>
  <si>
    <t>Step_No</t>
  </si>
  <si>
    <t>Test_Step</t>
  </si>
  <si>
    <t>Test_Data</t>
  </si>
  <si>
    <t>Expected_Result</t>
  </si>
  <si>
    <t>Actual_Result</t>
  </si>
  <si>
    <t>요약 정보</t>
  </si>
  <si>
    <t>선발 11명</t>
  </si>
  <si>
    <t>스쿼드 관리 화면</t>
  </si>
  <si>
    <t>보유 선수 18명 이상</t>
  </si>
  <si>
    <t>자동 편성</t>
  </si>
  <si>
    <t>급여 제한</t>
  </si>
  <si>
    <t>재진입</t>
  </si>
  <si>
    <t>선수 교체</t>
  </si>
  <si>
    <t>화면 진입</t>
  </si>
  <si>
    <t>스쿼드 관리 화면 진입 Smoke 확인</t>
  </si>
  <si>
    <t>스쿼드 요약 정보 표시 정합성 확인</t>
  </si>
  <si>
    <t>선수 수, 총 급여, 구단 가치가 서로 다른 기준으로 표시되며 혼동되지 않는지 확인한다.</t>
  </si>
  <si>
    <t>DataIntegrity,Summary</t>
  </si>
  <si>
    <t>선수 수와 총 급여 표기 혼동 방지</t>
  </si>
  <si>
    <t>총 급여</t>
  </si>
  <si>
    <t>총 급여 상세 계산 정합성 확인</t>
  </si>
  <si>
    <t>배치된 선수별 급여 합계가 총 급여 현재값과 일치하는지 확인한다.</t>
  </si>
  <si>
    <t>DataIntegrity,Salary</t>
  </si>
  <si>
    <t>급여 합산 오류는 핵심 정책 결함</t>
  </si>
  <si>
    <t>포메이션</t>
  </si>
  <si>
    <t>선수 배치</t>
  </si>
  <si>
    <t>포지션 제한</t>
  </si>
  <si>
    <t>GK 선수 필드 포지션 배치 제한 확인</t>
  </si>
  <si>
    <t>GK 선수를 필드 포지션에 배치하려고 할 때 배치가 차단되는지 확인한다.</t>
  </si>
  <si>
    <t>Negative,Position</t>
  </si>
  <si>
    <t>자동 편성 시 포지션·급여·OVR 우선순위 적용 확인</t>
  </si>
  <si>
    <t>자동 편성 실행 시 선수 배치 기준이 일관되게 적용되고 총 급여 제한을 초과하지 않는지 확인한다.</t>
  </si>
  <si>
    <t>AutoSquad,Algorithm,Salary</t>
  </si>
  <si>
    <t>필드 플레이어 GK 슬롯 배치 제한 확인</t>
  </si>
  <si>
    <t>GK가 아닌 선수를 GK 슬롯에 배치하려고 할 때 배치가 차단되고 기존 GK 상태가 유지되는지 확인한다.</t>
  </si>
  <si>
    <t>Negative,Position,GK</t>
  </si>
  <si>
    <t>저장</t>
  </si>
  <si>
    <t>선수 교체 후 저장 결과 확인</t>
  </si>
  <si>
    <t>선수 교체 후 저장했을 때 교체된 선수 배치와 총 급여가 저장 상태로 유지되는지 확인한다.</t>
  </si>
  <si>
    <t>팀컬러</t>
  </si>
  <si>
    <t>팀컬러 단계 적용 및 효과 표시 확인</t>
  </si>
  <si>
    <t>팀컬러 조건 충족 시 단계와 효과 적용 대상 선수가 정확히 표시되는지 확인한다.</t>
  </si>
  <si>
    <t>TeamColor,Effect</t>
  </si>
  <si>
    <t>팀컬러 조건 해제 후 효과 제거 확인</t>
  </si>
  <si>
    <t>팀컬러 조건이 해제되면 적용 단계와 효과가 제거되는지 확인한다.</t>
  </si>
  <si>
    <t>TeamColor,State</t>
  </si>
  <si>
    <t>효과 잔존 여부 검증</t>
  </si>
  <si>
    <t>Critical</t>
  </si>
  <si>
    <t>State,Sync,Persistence</t>
  </si>
  <si>
    <t>총 급여가 제한값 미만일 때 스쿼드 저장 가능 확인</t>
  </si>
  <si>
    <t>총 급여가 제한값보다 낮은 상태에서 스쿼드 저장이 허용되는지 확인한다.</t>
  </si>
  <si>
    <t>Boundary,Positive,Salary</t>
  </si>
  <si>
    <t>급여 허용 범위 검증</t>
  </si>
  <si>
    <t>총 급여가 제한값과 동일할 때 스쿼드 저장 가능 확인</t>
  </si>
  <si>
    <t>총 급여가 제한값과 정확히 동일한 상태에서 저장이 허용되는지 확인한다.</t>
  </si>
  <si>
    <t>경계값 동일 조건</t>
  </si>
  <si>
    <t>총 급여가 제한값을 초과한 경우 저장이 차단되고 편집 상태가 유지되는지 확인한다.</t>
  </si>
  <si>
    <t>Boundary,Negative,Salary</t>
  </si>
  <si>
    <t>급여 초과 저장은 핵심 정책 위반</t>
  </si>
  <si>
    <t>선수 수</t>
  </si>
  <si>
    <t>선발 선수가 10명 이하일 때 저장 차단 확인</t>
  </si>
  <si>
    <t>선발 선수가 10명 이하인 상태에서 저장이 차단되는지 확인한다.</t>
  </si>
  <si>
    <t>Negative,PlayerCount</t>
  </si>
  <si>
    <t>불완전 스쿼드 저장 방지</t>
  </si>
  <si>
    <t>선발 선수 11명 구성 시 저장 가능 확인</t>
  </si>
  <si>
    <t>선발 선수가 정확히 11명 구성된 상태에서 저장이 허용되는지 확인한다.</t>
  </si>
  <si>
    <t>Boundary,Positive,PlayerCount</t>
  </si>
  <si>
    <t>정상 저장 최소 조건</t>
  </si>
  <si>
    <t>급여 초과 선수가 포함된 상태에서 자동 편성 처리 확인</t>
  </si>
  <si>
    <t>고급여 선수가 포함되어도 자동 편성 결과가 총 급여 제한값을 초과하지 않는지 확인한다.</t>
  </si>
  <si>
    <t>Negative,AutoSquad,Salary</t>
  </si>
  <si>
    <t>자동 편성 정책 위반 방지</t>
  </si>
  <si>
    <t>GK 후보가 부족한 상태에서 자동 편성 처리 확인</t>
  </si>
  <si>
    <t>GK 후보가 부족할 때 필드 선수가 GK 슬롯에 임의 배치되지 않는지 확인한다.</t>
  </si>
  <si>
    <t>Negative,AutoSquad,GK</t>
  </si>
  <si>
    <t>현재 선수 수로 변경 불가한 포메이션 선택 시 처리 확인</t>
  </si>
  <si>
    <t>현재 선수 수 또는 포지션 조건으로 적용 불가한 포메이션이 차단되는지 확인한다.</t>
  </si>
  <si>
    <t>Negative,Formation</t>
  </si>
  <si>
    <t>기존 배치 유지 여부 포함</t>
  </si>
  <si>
    <t>잠금 상태 선수 교체 시도 시 차단 확인</t>
  </si>
  <si>
    <t>잠금 상태 선수를 교체하려고 할 때 교체가 차단되고 기존 배치가 유지되는지 확인한다.</t>
  </si>
  <si>
    <t>Negative,Swap,Lock</t>
  </si>
  <si>
    <t>잠금 선수 보호 정책</t>
  </si>
  <si>
    <t>이미 배치된 선수를 다른 포지션에 중복 배치 시도 시 차단 확인</t>
  </si>
  <si>
    <t>동일 선수가 2개 이상의 포지션에 중복 배치되지 않는지 확인한다.</t>
  </si>
  <si>
    <t>Negative,Swap,Duplicate</t>
  </si>
  <si>
    <t>데이터 무결성 핵심</t>
  </si>
  <si>
    <t>선수 교체 후 취소 시 이전 배치로 롤백되는지 확인</t>
  </si>
  <si>
    <t>선수 교체 확인 전 취소 시 교체 전 상태로 복구되는지 확인한다.</t>
  </si>
  <si>
    <t>State,Swap,Rollback</t>
  </si>
  <si>
    <t>취소/롤백 검증</t>
  </si>
  <si>
    <t>가치 표시</t>
  </si>
  <si>
    <t>선수 가치가 0일 때 표시 처리 확인</t>
  </si>
  <si>
    <t>선수 가치가 0인 경우 UI에 비정상 값 없이 표시되는지 확인한다.</t>
  </si>
  <si>
    <t>Edge,MarketValue</t>
  </si>
  <si>
    <t>0값 표시</t>
  </si>
  <si>
    <t>선수 가치가 매우 큰 금액일 때 UI 깨짐 여부 확인</t>
  </si>
  <si>
    <t>매우 큰 선수 가치가 단위와 자리수 포맷을 유지하며 표시되는지 확인한다.</t>
  </si>
  <si>
    <t>Edge,MarketValue,UI</t>
  </si>
  <si>
    <t>큰 숫자 포맷</t>
  </si>
  <si>
    <t>시세 미조회 선수의 가치 표시 처리 확인</t>
  </si>
  <si>
    <t>시세 정보가 조회되지 않는 선수의 가치 영역이 정책상 기본값으로 표시되는지 확인한다.</t>
  </si>
  <si>
    <t>Negative,MarketValue</t>
  </si>
  <si>
    <t>시세 API 예외</t>
  </si>
  <si>
    <t>데이터 동기화</t>
  </si>
  <si>
    <t>서버 저장 실패 시 오류 메시지 및 로컬 상태 유지 확인</t>
  </si>
  <si>
    <t>저장 실패 시 오류 메시지가 표시되고 편집 중인 스쿼드 상태가 유실되지 않는지 확인한다.</t>
  </si>
  <si>
    <t>Negative,Sync,SaveFail</t>
  </si>
  <si>
    <t>저장 실패 핵심 리스크</t>
  </si>
  <si>
    <t>저장 후 재접속 시 스쿼드 데이터 유지 확인</t>
  </si>
  <si>
    <t>저장 완료 후 재접속했을 때 선수 배치, 포메이션, 전술, 총 급여가 동일하게 유지되는지 확인한다.</t>
  </si>
  <si>
    <t>저장 지속성 검증</t>
  </si>
  <si>
    <t>다른 스쿼드 데이터와 현재 스쿼드가 섞이지 않는지 확인</t>
  </si>
  <si>
    <t>스쿼드 A 저장 후 스쿼드 B로 전환해도 데이터가 섞이지 않는지 확인한다.</t>
  </si>
  <si>
    <t>Negative,Sync,DataIntegrity</t>
  </si>
  <si>
    <t>스쿼드 간 데이터 오염 방지</t>
  </si>
  <si>
    <t>팝업이 열린 상태에서 동일 버튼 연속 클릭 시 중복 팝업 방지 확인</t>
  </si>
  <si>
    <t>팝업 호출 버튼을 빠르게 반복 클릭해도 동일 팝업이 중복 생성되지 않는지 확인한다.</t>
  </si>
  <si>
    <t>UIException,RapidClick</t>
  </si>
  <si>
    <t>구단 관리 메뉴를 통해 스쿼드 관리 화면에 진입하고 핵심 영역이 표시되는지 확인한다.</t>
  </si>
  <si>
    <t>Smoke,Navigation,Layout</t>
  </si>
  <si>
    <t>선수 피치 슬롯 배치 및 급여 반영 확인</t>
  </si>
  <si>
    <t>우측 선수 리스트의 선수를 피치 슬롯에 배치했을 때 선수 정보와 총 급여가 반영되는지 확인한다.</t>
  </si>
  <si>
    <t>Functional,Placement,Salary</t>
  </si>
  <si>
    <t>동일 OVR/동일 포지션 세부 조건 통합</t>
  </si>
  <si>
    <t>총 급여가 제한값을 초과할 때 저장 차단 확인</t>
  </si>
  <si>
    <t>데이터 영향 가능성이 있는 UI 예외만 유지</t>
  </si>
  <si>
    <t>구단 관리 하위 메뉴가 표시되며, 스쿼드 관리 메뉴가 선택 가능한 상태로 표시된다.</t>
  </si>
  <si>
    <t>Menu_ID: SQUAD_MANAGEMENT</t>
  </si>
  <si>
    <t>진입 결과</t>
  </si>
  <si>
    <t>오류 팝업, 빈 화면, 무한 로딩, 클라이언트 종료가 발생하지 않는다.</t>
  </si>
  <si>
    <t>선발 영역에 배치된 선수 수가 11명으로 확인된다.</t>
  </si>
  <si>
    <t>교체 5명 / P-SUB-001~P-SUB-005</t>
  </si>
  <si>
    <t>교체 영역에 배치된 선수 수가 5명으로 확인된다.</t>
  </si>
  <si>
    <t>총 급여: 302/310</t>
  </si>
  <si>
    <t>각 선수 카드 또는 상세 정보에서 선수별 급여 값을 확인할 수 있다.</t>
  </si>
  <si>
    <t>총 급여 기대값: 302/310</t>
  </si>
  <si>
    <t>변경 전 302/310 → 변경 후 310/310</t>
  </si>
  <si>
    <t>선택한 선수 카드가 선택 상태로 표시된다.</t>
  </si>
  <si>
    <t>급여 +24</t>
  </si>
  <si>
    <t>총 급여 현재값에 해당 선수의 급여 24가 반영된다.</t>
  </si>
  <si>
    <t>선택한 선수의 포지션이 GK로 확인된다.</t>
  </si>
  <si>
    <t>기대 메시지: 해당 포지션에 배치할 수 없는 선수입니다.</t>
  </si>
  <si>
    <t>Button_ID: BTN_AUTO_SQUAD</t>
  </si>
  <si>
    <t>자동 편성이 실행된다.</t>
  </si>
  <si>
    <t>자동 편성 결과 Player_ID 비교</t>
  </si>
  <si>
    <t>동일 Player_ID가 2개 이상의 포지션에 중복 배치되지 않는다.</t>
  </si>
  <si>
    <t>GK 슬롯에 P-GK-001의 선수명, 포지션, OVR이 표시된다.</t>
  </si>
  <si>
    <t>선택한 선수의 포지션이 GK가 아님을 선수 카드에서 확인할 수 있다.</t>
  </si>
  <si>
    <t>필드 플레이어는 GK 슬롯에 배치되지 않는다.</t>
  </si>
  <si>
    <t>Button_ID: BTN_SQUAD_SAVE</t>
  </si>
  <si>
    <t>저장 완료 메시지가 1회 표시된다.</t>
  </si>
  <si>
    <t>교체된 P-CM-002와 변경된 총 급여 값이 유지된다.</t>
  </si>
  <si>
    <t>팀컬러 진행 수치가 8/8로 변경된다.</t>
  </si>
  <si>
    <t>팀컬러 4단계가 활성 상태로 표시된다.</t>
  </si>
  <si>
    <t>제거 Player_ID: P-RMA-008</t>
  </si>
  <si>
    <t>팀컬러 진행 수치가 7/8로 변경된다.</t>
  </si>
  <si>
    <t>조건 해제 상태</t>
  </si>
  <si>
    <t>저장 완료 메시지는 표시되지 않는다.</t>
  </si>
  <si>
    <t>기대 메시지: 총 급여를 초과했습니다.</t>
  </si>
  <si>
    <t>선발 영역에는 10명의 선수만 표시된다.</t>
  </si>
  <si>
    <t>기대 메시지: 선발 선수 11명을 모두 배치해야 합니다.</t>
  </si>
  <si>
    <t>선발 영역에 11명의 선수가 표시된다.</t>
  </si>
  <si>
    <t>선발 11명 구성이 유지된다.</t>
  </si>
  <si>
    <t>P-HIGH-SAL-001 포함 / 자동 편성 시 초과 가능 조합</t>
  </si>
  <si>
    <t>선수 목록에 고급여 선수가 포함되어 있다.</t>
  </si>
  <si>
    <t>총 급여 제한값 310</t>
  </si>
  <si>
    <t>선수 목록에 GK 포지션 선수가 없다.</t>
  </si>
  <si>
    <t>자동 편성 시도가 수행된다.</t>
  </si>
  <si>
    <t>기대 메시지: GK 선수가 부족합니다.</t>
  </si>
  <si>
    <t>현재 선발 선수 수가 9명으로 표시된다.</t>
  </si>
  <si>
    <t>Formation: 4-3-3</t>
  </si>
  <si>
    <t>포메이션 변경 시도가 수행된다.</t>
  </si>
  <si>
    <t>변경 실패 예상</t>
  </si>
  <si>
    <t>선수 카드 또는 슬롯에 잠금 상태가 표시된다.</t>
  </si>
  <si>
    <t>잠금 상태 선수는 교체되지 않는다.</t>
  </si>
  <si>
    <t>기대 메시지: 잠금 상태의 선수는 교체할 수 없습니다.</t>
  </si>
  <si>
    <t>P-DUP-001이 CM 슬롯에 배치되어 있다.</t>
  </si>
  <si>
    <t>동일 선수 중복 배치 시도가 수행된다.</t>
  </si>
  <si>
    <t>기대 메시지: 이미 배치된 선수입니다.</t>
  </si>
  <si>
    <t>기존 P-CM-001 / 포지션 CM / OVR 111 / 급여 24</t>
  </si>
  <si>
    <t>CM 슬롯에 P-CM-001 정보가 표시된다.</t>
  </si>
  <si>
    <t>슬롯에 P-CM-002가 임시 반영된다.</t>
  </si>
  <si>
    <t>Button_ID: BTN_CANCEL</t>
  </si>
  <si>
    <t>선수 배치가 완료된다.</t>
  </si>
  <si>
    <t>배치 후 화면</t>
  </si>
  <si>
    <t>금액이 단위와 자리수 포맷을 포함해 표시된다.</t>
  </si>
  <si>
    <t>금액 텍스트가 UI 영역을 벗어나거나 다른 요소와 겹치지 않는다.</t>
  </si>
  <si>
    <t>Player_ID: P-VAL-NODATA / Market API 응답 없음</t>
  </si>
  <si>
    <t>시세 미조회 상태여도 선수 배치는 완료된다.</t>
  </si>
  <si>
    <t>오류 팝업, NaN, undefined, 빈 값이 표시되지 않는다.</t>
  </si>
  <si>
    <t>기대 메시지: 저장에 실패했습니다. 다시 시도해 주세요.</t>
  </si>
  <si>
    <t>팝업이 1개 표시된다.</t>
  </si>
  <si>
    <t>클릭 횟수: 5회 / 간격 0.2초</t>
  </si>
  <si>
    <t>동일 팝업은 화면에 1개만 유지된다.</t>
  </si>
  <si>
    <t>Button_ID: BTN_CLOSE</t>
  </si>
  <si>
    <t>기본 Layout 확인을 Smoke 범위에 통합</t>
  </si>
  <si>
    <t>기본 배치 동작과 급여 반영 검증</t>
  </si>
  <si>
    <r>
      <t>포지션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정책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검증</t>
    </r>
  </si>
  <si>
    <r>
      <t>기존</t>
    </r>
    <r>
      <rPr>
        <sz val="11"/>
        <color theme="1"/>
        <rFont val="Calibri"/>
        <family val="2"/>
      </rPr>
      <t xml:space="preserve"> Negative TC </t>
    </r>
    <r>
      <rPr>
        <sz val="11"/>
        <color theme="1"/>
        <rFont val="돋움"/>
        <family val="3"/>
        <charset val="129"/>
      </rPr>
      <t>구체화</t>
    </r>
  </si>
  <si>
    <t>선수 교체 후 저장 정합성 검증</t>
  </si>
  <si>
    <t>조건 직전 확인을 본 TC에 포함</t>
  </si>
  <si>
    <t>메인 로비 진입 가능 / 스쿼드 관리 메뉴 접근 가능</t>
  </si>
  <si>
    <t>스쿼드 A / 선발 11명, 교체 5명 / 등록 선수 수 기대값 16명 / 총 급여 302/310 / 구단 가치 24,000,000,000 BP</t>
  </si>
  <si>
    <t>스쿼드 A / 선발 11명 / P-SAL-001~P-SAL-011 급여 합계 302 / 교체 후 총 급여 310/310 구성 가능</t>
  </si>
  <si>
    <t>CM 슬롯 배치 가능 / P-CM-001 보유 / P-CM-001: 모드리치 23UCL +5, CM, OVR 111, 급여 24</t>
  </si>
  <si>
    <t>P-GK-001 보유 / P-GK-001: 쿠르투아 23UCL +5, GK, OVR 110, 급여 18 / ST 슬롯에 기존 선수 P-ST-001 배치 완료</t>
  </si>
  <si>
    <t>보유 선수 18명 이상 / GK, DF, MF, FW 후보 존재 / 총 급여 제한값 310 / ST 후보 P-ST-001(OVR 115, 급여 28), P-ST-002(OVR 112, 급여 25) 보유</t>
  </si>
  <si>
    <t>GK 슬롯에 P-GK-001 배치 완료 / 필드 선수 P-FW-NEG-001 보유 / P-FW-NEG-001: 음바페 24TOTY +5, ST, OVR 116, 급여 30</t>
  </si>
  <si>
    <t>CM 슬롯에 P-CM-001 배치 / 교체 대상 P-CM-002 보유 / 교체 전 총 급여 302/310 / 교체 후 총 급여 300/310</t>
  </si>
  <si>
    <t>레알 마드리드 선수 7명 배치 상태 / 추가 배치 선수 P-RMA-008 보유 / 팀컬러 4단계 조건: 레알 마드리드 선수 8명 / 기대 진행 수치 7/8 → 8/8</t>
  </si>
  <si>
    <t>레알 마드리드 선수 8명 배치 / 팀컬러 4단계 활성 상태 / 제거 대상 선수 P-RMA-008</t>
  </si>
  <si>
    <t>선발 11명 / P-SAL-001~P-SAL-011 배치 / 선수별 급여 합계 300 / 총 급여 제한값 310 / 기대 표시값 300/310</t>
  </si>
  <si>
    <t>선발 11명 / P-SAL-EQ-001~P-SAL-EQ-011 배치 / 선수별 급여 합계 310 / 총 급여 제한값 310 / 기대 표시값 310/310</t>
  </si>
  <si>
    <t>선발 11명 / P-SAL-OVER-001~P-SAL-OVER-011 배치 / 선수별 급여 합계 311 / 총 급여 제한값 310 / 기대 표시값 311/310</t>
  </si>
  <si>
    <t>선발 슬롯 10개만 배치 / P-S11-001~P-S11-010 / 선발 슬롯 1개 미배치 / 총 급여 제한값 이하</t>
  </si>
  <si>
    <t>선발 슬롯 11개 모두 배치 / P-S11-001~P-S11-011 / 총 급여 302/310</t>
  </si>
  <si>
    <t>자동 편성 대상 선수 풀에 고급여 선수 P-HIGH-SAL-001 포함 / 자동 편성 시 급여 초과 가능 조합 존재 / 총 급여 제한값 310</t>
  </si>
  <si>
    <t>보유 선수 17명 / GK 0명 / DF 6명 / MF 7명 / FW 4명 / 총 급여 제한값 310</t>
  </si>
  <si>
    <t>선발 9명 배치 / 기존 포메이션 4-2-3-1 / 적용 시도 포메이션 4-3-3 / 필수 선수 수 미충족</t>
  </si>
  <si>
    <t>잠금 상태 선수 P-LOCK-001 배치 완료 / Lock_Status Y / 교체 대상 P-CM-002 보유</t>
  </si>
  <si>
    <t>P-DUP-001이 CM 슬롯에 기존 배치 완료 / CDM 슬롯 배치 가능 상태</t>
  </si>
  <si>
    <t>CM 슬롯에 P-CM-001 배치 / 교체 대상 P-CM-002 보유 / 교체 전 총 급여 302/310 / 교체 후 임시 총 급여 300/310</t>
  </si>
  <si>
    <t>P-VAL-000 보유 / 선수 가치 0 BP / CM 슬롯 배치 가능</t>
  </si>
  <si>
    <t>P-VAL-HIGH 보유 / 선수 가치 999,999,999,999 BP / ST 슬롯 배치 가능</t>
  </si>
  <si>
    <t>P-VAL-NODATA 보유 / Market API 응답 없음 또는 시세 미조회 상태 / CM 슬롯 배치 가능</t>
  </si>
  <si>
    <t>변경 전 포메이션 4-2-3-1 / 변경 후 포메이션 4-4-2 / P-CM-001 → P-CM-002 교체 가능 / Save API 500 또는 Network Off 재현 가능</t>
  </si>
  <si>
    <t>P-CM-001 → P-CM-002 교체 가능 / 포메이션 4-2-3-1 → 4-4-2 변경 가능 / 변경 후 총 급여 300/310</t>
  </si>
  <si>
    <t>Squad A: P-A-001~P-A-011, Formation 4-2-3-1 / Squad B: P-B-001~P-B-011, Formation 4-3-3 / Squad A 변경값: P-A-012, Formation 4-4-2</t>
  </si>
  <si>
    <t>팀컬러 상세 팝업 호출 가능 / Button_ID BTN_TEAMCOLOR_DETAIL 사용 가능 / 연속 클릭 5회 수행 가능</t>
  </si>
  <si>
    <t>Menu_ID: CLUB_MANAGEMENT</t>
  </si>
  <si>
    <r>
      <t>스쿼드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관리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메뉴를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선택한다</t>
    </r>
    <r>
      <rPr>
        <sz val="11"/>
        <color theme="1"/>
        <rFont val="Calibri"/>
        <family val="2"/>
      </rPr>
      <t>.</t>
    </r>
  </si>
  <si>
    <t>스쿼드 관리 화면으로 이동하고, 화면 제목 또는 Breadcrumb에 `스쿼드 관리`가 표시된다.</t>
  </si>
  <si>
    <r>
      <t>화면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로딩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완료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상태를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확인한다</t>
    </r>
    <r>
      <rPr>
        <sz val="11"/>
        <color theme="1"/>
        <rFont val="Calibri"/>
        <family val="2"/>
      </rPr>
      <t>.</t>
    </r>
  </si>
  <si>
    <r>
      <t>Timeout: 5</t>
    </r>
    <r>
      <rPr>
        <sz val="11"/>
        <color theme="1"/>
        <rFont val="돋움"/>
        <family val="3"/>
        <charset val="129"/>
      </rPr>
      <t>초</t>
    </r>
  </si>
  <si>
    <r>
      <t>핵심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화면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영역을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확인한다</t>
    </r>
    <r>
      <rPr>
        <sz val="11"/>
        <color theme="1"/>
        <rFont val="Calibri"/>
        <family val="2"/>
      </rPr>
      <t>.</t>
    </r>
  </si>
  <si>
    <t>선수 배치 영역, 선수 리스트 영역, 총 급여 영역, 저장 버튼이 표시된다.</t>
  </si>
  <si>
    <r>
      <t>화면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진입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실패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여부를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확인한다</t>
    </r>
    <r>
      <rPr>
        <sz val="11"/>
        <color theme="1"/>
        <rFont val="Calibri"/>
        <family val="2"/>
      </rPr>
      <t>.</t>
    </r>
  </si>
  <si>
    <r>
      <t>기준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해상도에서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화면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깨짐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여부를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확인한다</t>
    </r>
    <r>
      <rPr>
        <sz val="11"/>
        <color theme="1"/>
        <rFont val="Calibri"/>
        <family val="2"/>
      </rPr>
      <t>.</t>
    </r>
  </si>
  <si>
    <t>기준 해상도</t>
  </si>
  <si>
    <t>주요 UI 요소가 겹치거나 잘리지 않고, 깨진 이미지 또는 비정상 텍스트가 표시되지 않는다.</t>
  </si>
  <si>
    <t>선발 11명 / P-S11-001~P-S11-011</t>
  </si>
  <si>
    <r>
      <t>스쿼드</t>
    </r>
    <r>
      <rPr>
        <sz val="11"/>
        <color theme="1"/>
        <rFont val="Calibri"/>
        <family val="2"/>
      </rPr>
      <t xml:space="preserve"> A</t>
    </r>
    <r>
      <rPr>
        <sz val="11"/>
        <color theme="1"/>
        <rFont val="돋움"/>
        <family val="3"/>
        <charset val="129"/>
      </rPr>
      <t>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교체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영역을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확인한다</t>
    </r>
    <r>
      <rPr>
        <sz val="11"/>
        <color theme="1"/>
        <rFont val="Calibri"/>
        <family val="2"/>
      </rPr>
      <t>.</t>
    </r>
  </si>
  <si>
    <r>
      <t>선발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선수와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교체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선수의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합계를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계산한다</t>
    </r>
    <r>
      <rPr>
        <sz val="11"/>
        <color theme="1"/>
        <rFont val="Calibri"/>
        <family val="2"/>
      </rPr>
      <t>.</t>
    </r>
  </si>
  <si>
    <t>선발 11명 + 교체 5명</t>
  </si>
  <si>
    <t>검증 기준 등록 선수 수가 16명으로 산출된다.</t>
  </si>
  <si>
    <r>
      <t>우측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선수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리스트의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등록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선수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수를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확인한다</t>
    </r>
    <r>
      <rPr>
        <sz val="11"/>
        <color theme="1"/>
        <rFont val="Calibri"/>
        <family val="2"/>
      </rPr>
      <t>.</t>
    </r>
  </si>
  <si>
    <t>기대 등록 선수 수: 16명</t>
  </si>
  <si>
    <t>등록 선수 수는 `16명`으로 표시된다.</t>
  </si>
  <si>
    <r>
      <t>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급여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영역을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확인한다</t>
    </r>
    <r>
      <rPr>
        <sz val="11"/>
        <color theme="1"/>
        <rFont val="Calibri"/>
        <family val="2"/>
      </rPr>
      <t>.</t>
    </r>
  </si>
  <si>
    <r>
      <t>`302/310`</t>
    </r>
    <r>
      <rPr>
        <sz val="11"/>
        <color theme="1"/>
        <rFont val="돋움"/>
        <family val="3"/>
        <charset val="129"/>
      </rPr>
      <t>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급여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현재값</t>
    </r>
    <r>
      <rPr>
        <sz val="11"/>
        <color theme="1"/>
        <rFont val="Calibri"/>
        <family val="2"/>
      </rPr>
      <t>/</t>
    </r>
    <r>
      <rPr>
        <sz val="11"/>
        <color theme="1"/>
        <rFont val="돋움"/>
        <family val="3"/>
        <charset val="129"/>
      </rPr>
      <t>제한값으로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표시된다</t>
    </r>
    <r>
      <rPr>
        <sz val="11"/>
        <color theme="1"/>
        <rFont val="Calibri"/>
        <family val="2"/>
      </rPr>
      <t>.</t>
    </r>
  </si>
  <si>
    <r>
      <t>선수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수와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급여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표기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혼동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여부를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확인한다</t>
    </r>
    <r>
      <rPr>
        <sz val="11"/>
        <color theme="1"/>
        <rFont val="Calibri"/>
        <family val="2"/>
      </rPr>
      <t>.</t>
    </r>
  </si>
  <si>
    <t>등록 선수 수 16명 / 총 급여 302/310</t>
  </si>
  <si>
    <t>등록 선수 수와 총 급여가 서로 다른 영역 또는 라벨로 구분되어 표시된다.</t>
  </si>
  <si>
    <r>
      <t>구단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가치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영역을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확인한다</t>
    </r>
    <r>
      <rPr>
        <sz val="11"/>
        <color theme="1"/>
        <rFont val="Calibri"/>
        <family val="2"/>
      </rPr>
      <t>.</t>
    </r>
  </si>
  <si>
    <t>구단 가치: 24,000,000,000 BP</t>
  </si>
  <si>
    <t>구단 가치는 BP 단위와 천 단위 구분 기호를 포함해 표시된다.</t>
  </si>
  <si>
    <t>P-SAL-001~P-SAL-011</t>
  </si>
  <si>
    <t>선발 영역에 급여 검증 대상 선수 11명이 표시된다.</t>
  </si>
  <si>
    <r>
      <t>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선수의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급여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값을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확인한다</t>
    </r>
    <r>
      <rPr>
        <sz val="11"/>
        <color theme="1"/>
        <rFont val="Calibri"/>
        <family val="2"/>
      </rPr>
      <t>.</t>
    </r>
  </si>
  <si>
    <r>
      <t>선수별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급여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합계를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계산한다</t>
    </r>
    <r>
      <rPr>
        <sz val="11"/>
        <color theme="1"/>
        <rFont val="Calibri"/>
        <family val="2"/>
      </rPr>
      <t>.</t>
    </r>
  </si>
  <si>
    <t>선수별 급여 합계: 302</t>
  </si>
  <si>
    <t>선수별 급여 합계가 302로 계산된다.</t>
  </si>
  <si>
    <r>
      <t>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급여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영역의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현재값을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확인한다</t>
    </r>
    <r>
      <rPr>
        <sz val="11"/>
        <color theme="1"/>
        <rFont val="Calibri"/>
        <family val="2"/>
      </rPr>
      <t>.</t>
    </r>
  </si>
  <si>
    <t>총 급여 현재값은 선수별 급여 합계와 동일한 `302`로 표시된다.</t>
  </si>
  <si>
    <r>
      <t>급여가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다른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선수로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교체한다</t>
    </r>
    <r>
      <rPr>
        <sz val="11"/>
        <color theme="1"/>
        <rFont val="Calibri"/>
        <family val="2"/>
      </rPr>
      <t>.</t>
    </r>
  </si>
  <si>
    <t>선수 교체 후 총 급여 산정 조건이 변경된다.</t>
  </si>
  <si>
    <r>
      <t>교체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급여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값을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확인한다</t>
    </r>
    <r>
      <rPr>
        <sz val="11"/>
        <color theme="1"/>
        <rFont val="Calibri"/>
        <family val="2"/>
      </rPr>
      <t>.</t>
    </r>
  </si>
  <si>
    <t>변경 후 기대 총 급여: 310/310</t>
  </si>
  <si>
    <t>총 급여 영역이 `310/310`으로 갱신된다.</t>
  </si>
  <si>
    <r>
      <t>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급여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제한값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유지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여부를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확인한다</t>
    </r>
    <r>
      <rPr>
        <sz val="11"/>
        <color theme="1"/>
        <rFont val="Calibri"/>
        <family val="2"/>
      </rPr>
      <t>.</t>
    </r>
  </si>
  <si>
    <t>제한값: 310</t>
  </si>
  <si>
    <t>제한값은 변경되지 않고 `310`으로 유지된다.</t>
  </si>
  <si>
    <t>P-CM-001 / 모드리치 23UCL +5 / CM / OVR 111 / 급여 24</t>
  </si>
  <si>
    <t>선수 카드에 선수명, 시즌, 강화 단계, 포지션, OVR, 급여가 표시된다.</t>
  </si>
  <si>
    <r>
      <t>배치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대상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선수를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선택한다</t>
    </r>
    <r>
      <rPr>
        <sz val="11"/>
        <color theme="1"/>
        <rFont val="Calibri"/>
        <family val="2"/>
      </rPr>
      <t>.</t>
    </r>
  </si>
  <si>
    <t>Player_ID: P-CM-001</t>
  </si>
  <si>
    <r>
      <t xml:space="preserve">CM </t>
    </r>
    <r>
      <rPr>
        <sz val="11"/>
        <color theme="1"/>
        <rFont val="돋움"/>
        <family val="3"/>
        <charset val="129"/>
      </rPr>
      <t>슬롯의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기존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상태를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확인한다</t>
    </r>
    <r>
      <rPr>
        <sz val="11"/>
        <color theme="1"/>
        <rFont val="Calibri"/>
        <family val="2"/>
      </rPr>
      <t>.</t>
    </r>
  </si>
  <si>
    <r>
      <t>선택한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선수를</t>
    </r>
    <r>
      <rPr>
        <sz val="11"/>
        <color theme="1"/>
        <rFont val="Calibri"/>
        <family val="2"/>
      </rPr>
      <t xml:space="preserve"> CM </t>
    </r>
    <r>
      <rPr>
        <sz val="11"/>
        <color theme="1"/>
        <rFont val="돋움"/>
        <family val="3"/>
        <charset val="129"/>
      </rPr>
      <t>슬롯에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배치한다</t>
    </r>
    <r>
      <rPr>
        <sz val="11"/>
        <color theme="1"/>
        <rFont val="Calibri"/>
        <family val="2"/>
      </rPr>
      <t>.</t>
    </r>
  </si>
  <si>
    <r>
      <t>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급여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변화를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확인한다</t>
    </r>
    <r>
      <rPr>
        <sz val="11"/>
        <color theme="1"/>
        <rFont val="Calibri"/>
        <family val="2"/>
      </rPr>
      <t>.</t>
    </r>
  </si>
  <si>
    <r>
      <t>중복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배치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여부를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확인한다</t>
    </r>
    <r>
      <rPr>
        <sz val="11"/>
        <color theme="1"/>
        <rFont val="Calibri"/>
        <family val="2"/>
      </rPr>
      <t>.</t>
    </r>
  </si>
  <si>
    <r>
      <t xml:space="preserve">P-GK-001 / </t>
    </r>
    <r>
      <rPr>
        <sz val="11"/>
        <color theme="1"/>
        <rFont val="돋움"/>
        <family val="3"/>
        <charset val="129"/>
      </rPr>
      <t>쿠르투아</t>
    </r>
    <r>
      <rPr>
        <sz val="11"/>
        <color theme="1"/>
        <rFont val="Calibri"/>
        <family val="2"/>
      </rPr>
      <t xml:space="preserve"> 23UCL +5 / GK / OVR 110 / </t>
    </r>
    <r>
      <rPr>
        <sz val="11"/>
        <color theme="1"/>
        <rFont val="돋움"/>
        <family val="3"/>
        <charset val="129"/>
      </rPr>
      <t>급여</t>
    </r>
    <r>
      <rPr>
        <sz val="11"/>
        <color theme="1"/>
        <rFont val="Calibri"/>
        <family val="2"/>
      </rPr>
      <t xml:space="preserve"> 18</t>
    </r>
  </si>
  <si>
    <r>
      <t xml:space="preserve">ST </t>
    </r>
    <r>
      <rPr>
        <sz val="11"/>
        <color theme="1"/>
        <rFont val="돋움"/>
        <family val="3"/>
        <charset val="129"/>
      </rPr>
      <t>슬롯의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기존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배치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상태를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확인한다</t>
    </r>
    <r>
      <rPr>
        <sz val="11"/>
        <color theme="1"/>
        <rFont val="Calibri"/>
        <family val="2"/>
      </rPr>
      <t>.</t>
    </r>
  </si>
  <si>
    <r>
      <t xml:space="preserve">GK </t>
    </r>
    <r>
      <rPr>
        <sz val="11"/>
        <color theme="1"/>
        <rFont val="돋움"/>
        <family val="3"/>
        <charset val="129"/>
      </rPr>
      <t>선수를</t>
    </r>
    <r>
      <rPr>
        <sz val="11"/>
        <color theme="1"/>
        <rFont val="Calibri"/>
        <family val="2"/>
      </rPr>
      <t xml:space="preserve"> ST </t>
    </r>
    <r>
      <rPr>
        <sz val="11"/>
        <color theme="1"/>
        <rFont val="돋움"/>
        <family val="3"/>
        <charset val="129"/>
      </rPr>
      <t>슬롯에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배치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시도한다</t>
    </r>
    <r>
      <rPr>
        <sz val="11"/>
        <color theme="1"/>
        <rFont val="Calibri"/>
        <family val="2"/>
      </rPr>
      <t>.</t>
    </r>
  </si>
  <si>
    <r>
      <t>안내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메시지를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확인한다</t>
    </r>
    <r>
      <rPr>
        <sz val="11"/>
        <color theme="1"/>
        <rFont val="Calibri"/>
        <family val="2"/>
      </rPr>
      <t>.</t>
    </r>
  </si>
  <si>
    <t>안내 메시지가 1회 표시된다.</t>
  </si>
  <si>
    <r>
      <t xml:space="preserve">ST </t>
    </r>
    <r>
      <rPr>
        <sz val="11"/>
        <color theme="1"/>
        <rFont val="돋움"/>
        <family val="3"/>
        <charset val="129"/>
      </rPr>
      <t>슬롯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상태를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다시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확인한다</t>
    </r>
    <r>
      <rPr>
        <sz val="11"/>
        <color theme="1"/>
        <rFont val="Calibri"/>
        <family val="2"/>
      </rPr>
      <t>.</t>
    </r>
  </si>
  <si>
    <t>기존 ST 슬롯 선수는 변경되지 않는다.</t>
  </si>
  <si>
    <r>
      <t xml:space="preserve">GK </t>
    </r>
    <r>
      <rPr>
        <sz val="11"/>
        <color theme="1"/>
        <rFont val="돋움"/>
        <family val="3"/>
        <charset val="129"/>
      </rPr>
      <t>선수의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기존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위치를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확인한다</t>
    </r>
    <r>
      <rPr>
        <sz val="11"/>
        <color theme="1"/>
        <rFont val="Calibri"/>
        <family val="2"/>
      </rPr>
      <t>.</t>
    </r>
  </si>
  <si>
    <t>Player_ID: P-GK-001</t>
  </si>
  <si>
    <r>
      <t>자동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편성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대상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선수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보유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상태를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확인한다</t>
    </r>
    <r>
      <rPr>
        <sz val="11"/>
        <color theme="1"/>
        <rFont val="Calibri"/>
        <family val="2"/>
      </rPr>
      <t>.</t>
    </r>
  </si>
  <si>
    <t>자동 편성에 필요한 선수 후보가 표시된다.</t>
  </si>
  <si>
    <r>
      <t>포지션별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후보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선수를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확인한다</t>
    </r>
    <r>
      <rPr>
        <sz val="11"/>
        <color theme="1"/>
        <rFont val="Calibri"/>
        <family val="2"/>
      </rPr>
      <t>.</t>
    </r>
  </si>
  <si>
    <r>
      <t>자동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편성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기준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검증용</t>
    </r>
    <r>
      <rPr>
        <sz val="11"/>
        <color theme="1"/>
        <rFont val="Calibri"/>
        <family val="2"/>
      </rPr>
      <t xml:space="preserve"> ST </t>
    </r>
    <r>
      <rPr>
        <sz val="11"/>
        <color theme="1"/>
        <rFont val="돋움"/>
        <family val="3"/>
        <charset val="129"/>
      </rPr>
      <t>후보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정보를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확인한다</t>
    </r>
    <r>
      <rPr>
        <sz val="11"/>
        <color theme="1"/>
        <rFont val="Calibri"/>
        <family val="2"/>
      </rPr>
      <t>.</t>
    </r>
  </si>
  <si>
    <t>두 선수 모두 ST 포지션 후보로 표시된다.</t>
  </si>
  <si>
    <r>
      <t>동일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포지션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후보의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강화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단계와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가치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정보를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확인한다</t>
    </r>
    <r>
      <rPr>
        <sz val="11"/>
        <color theme="1"/>
        <rFont val="Calibri"/>
        <family val="2"/>
      </rPr>
      <t>.</t>
    </r>
  </si>
  <si>
    <t>자동 편성 우선순위 판단에 필요한 OVR, 강화 단계, 가치가 확인 가능하다.</t>
  </si>
  <si>
    <r>
      <t>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급여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제한값을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확인한다</t>
    </r>
    <r>
      <rPr>
        <sz val="11"/>
        <color theme="1"/>
        <rFont val="Calibri"/>
        <family val="2"/>
      </rPr>
      <t>.</t>
    </r>
  </si>
  <si>
    <t>총 급여 제한값: 310</t>
  </si>
  <si>
    <t>총 급여 제한값이 `310`으로 표시된다.</t>
  </si>
  <si>
    <r>
      <t>자동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편성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버튼을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클릭한다</t>
    </r>
    <r>
      <rPr>
        <sz val="11"/>
        <color theme="1"/>
        <rFont val="Calibri"/>
        <family val="2"/>
      </rPr>
      <t>.</t>
    </r>
  </si>
  <si>
    <r>
      <t>자동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편성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선발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선수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수를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확인한다</t>
    </r>
    <r>
      <rPr>
        <sz val="11"/>
        <color theme="1"/>
        <rFont val="Calibri"/>
        <family val="2"/>
      </rPr>
      <t>.</t>
    </r>
  </si>
  <si>
    <t>자동 편성 결과</t>
  </si>
  <si>
    <t>선발 영역에 11명의 선수가 배치된다.</t>
  </si>
  <si>
    <r>
      <t>포지션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적합도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적용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여부를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확인한다</t>
    </r>
    <r>
      <rPr>
        <sz val="11"/>
        <color theme="1"/>
        <rFont val="Calibri"/>
        <family val="2"/>
      </rPr>
      <t>.</t>
    </r>
  </si>
  <si>
    <t>포지션별 배치 결과</t>
  </si>
  <si>
    <t>각 포지션에는 해당 포지션에 적합한 선수가 우선 배치된다.</t>
  </si>
  <si>
    <r>
      <t xml:space="preserve">ST </t>
    </r>
    <r>
      <rPr>
        <sz val="11"/>
        <color theme="1"/>
        <rFont val="돋움"/>
        <family val="3"/>
        <charset val="129"/>
      </rPr>
      <t>후보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배치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결과를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확인한다</t>
    </r>
    <r>
      <rPr>
        <sz val="11"/>
        <color theme="1"/>
        <rFont val="Calibri"/>
        <family val="2"/>
      </rPr>
      <t>.</t>
    </r>
  </si>
  <si>
    <t>급여 제한을 초과하지 않는 조건에서는 OVR이 높은 P-ST-001이 우선 배치된다.</t>
  </si>
  <si>
    <r>
      <t>자동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편성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급여를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확인한다</t>
    </r>
    <r>
      <rPr>
        <sz val="11"/>
        <color theme="1"/>
        <rFont val="Calibri"/>
        <family val="2"/>
      </rPr>
      <t>.</t>
    </r>
  </si>
  <si>
    <t>자동 편성 결과의 총 급여는 310 이하로 유지된다.</t>
  </si>
  <si>
    <r>
      <t xml:space="preserve">GK </t>
    </r>
    <r>
      <rPr>
        <sz val="11"/>
        <color theme="1"/>
        <rFont val="돋움"/>
        <family val="3"/>
        <charset val="129"/>
      </rPr>
      <t>슬롯에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정상</t>
    </r>
    <r>
      <rPr>
        <sz val="11"/>
        <color theme="1"/>
        <rFont val="Calibri"/>
        <family val="2"/>
      </rPr>
      <t xml:space="preserve"> GK </t>
    </r>
    <r>
      <rPr>
        <sz val="11"/>
        <color theme="1"/>
        <rFont val="돋움"/>
        <family val="3"/>
        <charset val="129"/>
      </rPr>
      <t>선수를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배치한다</t>
    </r>
    <r>
      <rPr>
        <sz val="11"/>
        <color theme="1"/>
        <rFont val="Calibri"/>
        <family val="2"/>
      </rPr>
      <t>.</t>
    </r>
  </si>
  <si>
    <r>
      <t>필드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플레이어를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선택한다</t>
    </r>
    <r>
      <rPr>
        <sz val="11"/>
        <color theme="1"/>
        <rFont val="Calibri"/>
        <family val="2"/>
      </rPr>
      <t>.</t>
    </r>
  </si>
  <si>
    <r>
      <t xml:space="preserve">GK </t>
    </r>
    <r>
      <rPr>
        <sz val="11"/>
        <color theme="1"/>
        <rFont val="돋움"/>
        <family val="3"/>
        <charset val="129"/>
      </rPr>
      <t>슬롯의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기존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선수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정보를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기록한다</t>
    </r>
    <r>
      <rPr>
        <sz val="11"/>
        <color theme="1"/>
        <rFont val="Calibri"/>
        <family val="2"/>
      </rPr>
      <t>.</t>
    </r>
  </si>
  <si>
    <t>기대 유지 선수: P-GK-001</t>
  </si>
  <si>
    <r>
      <t>선택한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필드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플레이어를</t>
    </r>
    <r>
      <rPr>
        <sz val="11"/>
        <color theme="1"/>
        <rFont val="Calibri"/>
        <family val="2"/>
      </rPr>
      <t xml:space="preserve"> GK </t>
    </r>
    <r>
      <rPr>
        <sz val="11"/>
        <color theme="1"/>
        <rFont val="돋움"/>
        <family val="3"/>
        <charset val="129"/>
      </rPr>
      <t>슬롯에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배치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시도한다</t>
    </r>
    <r>
      <rPr>
        <sz val="11"/>
        <color theme="1"/>
        <rFont val="Calibri"/>
        <family val="2"/>
      </rPr>
      <t>.</t>
    </r>
  </si>
  <si>
    <t>기존 GK 슬롯 선수 P-GK-001은 변경되지 않는다.</t>
  </si>
  <si>
    <t>배치 실패 후 총 급여</t>
  </si>
  <si>
    <t>배치 실패로 인해 총 급여 값은 변경되지 않는다.</t>
  </si>
  <si>
    <t>기존 Player_ID: P-CM-001 / CM / 급여 24</t>
  </si>
  <si>
    <t>변경 Player_ID: P-CM-002 / CM / 급여 22</t>
  </si>
  <si>
    <t>교체 대상 선수의 Player_ID, 포지션, 급여가 확인된다.</t>
  </si>
  <si>
    <t>변경 전 302/310 → 변경 후 300/310</t>
  </si>
  <si>
    <t>총 급여가 교체 선수 급여 차이만큼 변경된다.</t>
  </si>
  <si>
    <t>메인 로비 또는 이적시장</t>
  </si>
  <si>
    <t>스쿼드 관리 화면에서 다른 화면으로 이동한다.</t>
  </si>
  <si>
    <t>스쿼드 A 재진입</t>
  </si>
  <si>
    <t>스쿼드 관리 화면이 표시된다.</t>
  </si>
  <si>
    <t>레알 마드리드 선수 7명 / 필요 8명</t>
  </si>
  <si>
    <t>팀컬러 진행 수치가 7/8로 표시된다.</t>
  </si>
  <si>
    <t>레알 마드리드 7/8</t>
  </si>
  <si>
    <t>추가 Player_ID: P-RMA-008 / 레알 마드리드 소속</t>
  </si>
  <si>
    <t>추가 배치 대상 선수가 레알 마드리드 소속으로 확인된다.</t>
  </si>
  <si>
    <r>
      <t xml:space="preserve">P-RMA-008 </t>
    </r>
    <r>
      <rPr>
        <sz val="11"/>
        <color theme="1"/>
        <rFont val="돋움"/>
        <family val="3"/>
        <charset val="129"/>
      </rPr>
      <t>배치</t>
    </r>
  </si>
  <si>
    <t>기대 단계: 4단계</t>
  </si>
  <si>
    <t>레알 마드리드 팀컬러 4단계가 활성화된다.</t>
  </si>
  <si>
    <t>적용 대상: 레알 마드리드 선수 8명</t>
  </si>
  <si>
    <t>효과 적용 대상 선수 8명이 표시된다.</t>
  </si>
  <si>
    <t>적용 전/후 능력치 비교</t>
  </si>
  <si>
    <t>대상 선수의 능력치 또는 효과 영역에 팀컬러 효과가 반영된다.</t>
  </si>
  <si>
    <t>레알 마드리드 8/8 / 4단계 활성</t>
  </si>
  <si>
    <t>레알 마드리드 선수 8명</t>
  </si>
  <si>
    <t>효과 적용 대상 목록에 조건 충족 선수 8명이 포함된다.</t>
  </si>
  <si>
    <t>레알 마드리드 4단계 효과가 비활성화된다.</t>
  </si>
  <si>
    <t>조건 해제 후 목록</t>
  </si>
  <si>
    <t>제거된 선수는 효과 적용 대상에서 제외된다.</t>
  </si>
  <si>
    <t>해제 후 능력치</t>
  </si>
  <si>
    <t>제거된 팀컬러 효과 값이 선수 능력치에 남아 있지 않는다.</t>
  </si>
  <si>
    <t>급여 제한 미만 검증 상태</t>
  </si>
  <si>
    <t>스쿼드가 급여 제한 미만 검증을 수행할 수 있는 상태로 표시된다.</t>
  </si>
  <si>
    <t>선수별 급여 합계: 300</t>
  </si>
  <si>
    <t>선수별 급여 합계가 300으로 계산된다.</t>
  </si>
  <si>
    <t>총 급여 300/310</t>
  </si>
  <si>
    <t>총 급여 영역에 `300/310`이 표시된다.</t>
  </si>
  <si>
    <t>총 급여 300/310 / 선발 11명</t>
  </si>
  <si>
    <t>선수 배치와 총 급여 `300/310`이 유지된다.</t>
  </si>
  <si>
    <t>급여 제한 동일 검증 상태</t>
  </si>
  <si>
    <t>스쿼드가 급여 제한 동일 검증을 수행할 수 있는 상태로 표시된다.</t>
  </si>
  <si>
    <t>P-SAL-EQ-001~P-SAL-EQ-011</t>
  </si>
  <si>
    <t>선수별 급여 합계: 310</t>
  </si>
  <si>
    <t>선수별 급여 합계가 310으로 계산된다.</t>
  </si>
  <si>
    <t>총 급여 310/310</t>
  </si>
  <si>
    <t>총 급여 영역에 `310/310`이 표시된다.</t>
  </si>
  <si>
    <t>급여 초과 안내 메시지는 표시되지 않는다.</t>
  </si>
  <si>
    <t>급여 초과 검증 상태</t>
  </si>
  <si>
    <t>스쿼드가 급여 초과 검증을 수행할 수 있는 상태로 표시된다.</t>
  </si>
  <si>
    <t>P-SAL-OVER-001~P-SAL-OVER-011</t>
  </si>
  <si>
    <t>선수별 급여 합계: 311</t>
  </si>
  <si>
    <t>선수별 급여 합계가 311로 계산된다.</t>
  </si>
  <si>
    <r>
      <t>총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급여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영역을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</si>
  <si>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t>총 급여 영역에 `311/310`이 표시된다.</t>
  </si>
  <si>
    <r>
      <t>저장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버튼을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클릭한다</t>
    </r>
    <r>
      <rPr>
        <sz val="10"/>
        <color rgb="FF000000"/>
        <rFont val="Calibri"/>
        <family val="2"/>
      </rPr>
      <t>.</t>
    </r>
  </si>
  <si>
    <r>
      <t>안내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메시지를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</si>
  <si>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r>
      <t>저장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실패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편집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상태를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</si>
  <si>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t>저장 실패 후 화면</t>
  </si>
  <si>
    <t>배치한 11명의 선수와 총 급여 `311/310` 상태가 화면에 유지된다.</t>
  </si>
  <si>
    <r>
      <t>스쿼드</t>
    </r>
    <r>
      <rPr>
        <sz val="10"/>
        <color rgb="FF000000"/>
        <rFont val="Calibri"/>
        <family val="2"/>
      </rPr>
      <t xml:space="preserve"> A</t>
    </r>
    <r>
      <rPr>
        <sz val="10"/>
        <color rgb="FF000000"/>
        <rFont val="돋움"/>
        <family val="3"/>
        <charset val="129"/>
      </rPr>
      <t>의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초기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상태를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</si>
  <si>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t>선발 10명 저장 차단 검증 상태</t>
  </si>
  <si>
    <t>스쿼드가 선발 인원 부족 검증을 수행할 수 있는 상태로 표시된다.</t>
  </si>
  <si>
    <r>
      <t>선발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선수를</t>
    </r>
    <r>
      <rPr>
        <sz val="10"/>
        <color rgb="FF000000"/>
        <rFont val="Calibri"/>
        <family val="2"/>
      </rPr>
      <t xml:space="preserve"> 10</t>
    </r>
    <r>
      <rPr>
        <sz val="10"/>
        <color rgb="FF000000"/>
        <rFont val="돋움"/>
        <family val="3"/>
        <charset val="129"/>
      </rPr>
      <t>명만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배치한다</t>
    </r>
    <r>
      <rPr>
        <sz val="10"/>
        <color rgb="FF000000"/>
        <rFont val="Calibri"/>
        <family val="2"/>
      </rPr>
      <t>.</t>
    </r>
  </si>
  <si>
    <t>P-S11-001~P-S11-010</t>
  </si>
  <si>
    <r>
      <t>빈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선발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슬롯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수를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</si>
  <si>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t>선발 슬롯 1개 미배치</t>
  </si>
  <si>
    <t>선발 영역에 최소 1개의 빈 슬롯이 표시된다.</t>
  </si>
  <si>
    <r>
      <t>저장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실패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기존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배치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상태를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</si>
  <si>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t>선발 10명 상태</t>
  </si>
  <si>
    <t>기존에 배치한 10명의 선수는 화면에서 유지된다.</t>
  </si>
  <si>
    <t>선발 11명 저장 가능 검증 상태</t>
  </si>
  <si>
    <t>스쿼드가 선발 11명 저장 가능 검증을 수행할 수 있는 상태로 표시된다.</t>
  </si>
  <si>
    <r>
      <t>선발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선수를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정확히</t>
    </r>
    <r>
      <rPr>
        <sz val="10"/>
        <color rgb="FF000000"/>
        <rFont val="Calibri"/>
        <family val="2"/>
      </rPr>
      <t xml:space="preserve"> 11</t>
    </r>
    <r>
      <rPr>
        <sz val="10"/>
        <color rgb="FF000000"/>
        <rFont val="돋움"/>
        <family val="3"/>
        <charset val="129"/>
      </rPr>
      <t>명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배치한다</t>
    </r>
    <r>
      <rPr>
        <sz val="10"/>
        <color rgb="FF000000"/>
        <rFont val="Calibri"/>
        <family val="2"/>
      </rPr>
      <t>.</t>
    </r>
  </si>
  <si>
    <r>
      <t>총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급여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값을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</si>
  <si>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t>총 급여 302/310</t>
  </si>
  <si>
    <t>총 급여가 제한값 이하로 표시된다.</t>
  </si>
  <si>
    <r>
      <t>스쿼드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관리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화면에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재진입한다</t>
    </r>
    <r>
      <rPr>
        <sz val="10"/>
        <color rgb="FF000000"/>
        <rFont val="Calibri"/>
        <family val="2"/>
      </rPr>
      <t>.</t>
    </r>
  </si>
  <si>
    <r>
      <t>저장된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선발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인원을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</si>
  <si>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r>
      <t>고급여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선수가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포함된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선수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풀을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</si>
  <si>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r>
      <t>총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급여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제한값을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</si>
  <si>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r>
      <t>자동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편성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버튼을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클릭한다</t>
    </r>
    <r>
      <rPr>
        <sz val="10"/>
        <color rgb="FF000000"/>
        <rFont val="Calibri"/>
        <family val="2"/>
      </rPr>
      <t>.</t>
    </r>
  </si>
  <si>
    <r>
      <t>자동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편성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선발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선수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수를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</si>
  <si>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r>
      <t>자동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편성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총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급여를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</si>
  <si>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r>
      <t>급여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초과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조합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확정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여부를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</si>
  <si>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t>급여 초과 가능 조합</t>
  </si>
  <si>
    <t>제한값을 초과하는 조합은 자동 편성 결과로 확정되지 않는다.</t>
  </si>
  <si>
    <r>
      <t>저장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가능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여부를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</si>
  <si>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t>총 급여가 제한값 이하인 경우에만 저장 가능 상태가 된다.</t>
  </si>
  <si>
    <r>
      <t>GK</t>
    </r>
    <r>
      <rPr>
        <sz val="10"/>
        <color rgb="FF000000"/>
        <rFont val="돋움"/>
        <family val="3"/>
        <charset val="129"/>
      </rPr>
      <t>가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없는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상태의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선수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목록을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</si>
  <si>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r>
      <t>GK 0</t>
    </r>
    <r>
      <rPr>
        <sz val="10"/>
        <color rgb="FF000000"/>
        <rFont val="돋움"/>
        <family val="3"/>
        <charset val="129"/>
      </rPr>
      <t>명</t>
    </r>
  </si>
  <si>
    <r>
      <t>자동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편성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대상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포지션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구성을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</si>
  <si>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t>필드 포지션 선수는 존재하지만 GK 후보는 없는 상태이다.</t>
  </si>
  <si>
    <r>
      <t xml:space="preserve">GK </t>
    </r>
    <r>
      <rPr>
        <sz val="10"/>
        <color rgb="FF000000"/>
        <rFont val="돋움"/>
        <family val="3"/>
        <charset val="129"/>
      </rPr>
      <t>슬롯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배치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결과를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</si>
  <si>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t>필수 포지션 부족 상태에서는 저장이 허용되지 않는다.</t>
  </si>
  <si>
    <r>
      <t>현재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선발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선수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수를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</si>
  <si>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t>선발 9명</t>
  </si>
  <si>
    <r>
      <t>현재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포메이션을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</si>
  <si>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t>기존 Formation: 4-2-3-1</t>
  </si>
  <si>
    <t>피치 슬롯 구성이 기존 포메이션 기준으로 표시된다.</t>
  </si>
  <si>
    <r>
      <t>적용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불가한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포메이션을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선택한다</t>
    </r>
    <r>
      <rPr>
        <sz val="10"/>
        <color rgb="FF000000"/>
        <rFont val="Calibri"/>
        <family val="2"/>
      </rPr>
      <t>.</t>
    </r>
  </si>
  <si>
    <r>
      <t>포메이션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변경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적용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여부를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</si>
  <si>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t>포메이션 변경은 적용되지 않는다.</t>
  </si>
  <si>
    <r>
      <t>기존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포메이션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유지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여부를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</si>
  <si>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t>기존 포메이션과 선수 배치가 유지된다.</t>
  </si>
  <si>
    <t>적용 불가 포메이션</t>
  </si>
  <si>
    <t>포메이션 변경 불가 안내 메시지가 1회 표시된다.</t>
  </si>
  <si>
    <r>
      <t>잠금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상태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선수를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</si>
  <si>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t>P-LOCK-001 / Lock_Status: Y</t>
  </si>
  <si>
    <r>
      <t>잠금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선수의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기존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배치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슬롯을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</si>
  <si>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r>
      <t>교체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대상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선수를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</si>
  <si>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t>변경 대상 P-CM-002</t>
  </si>
  <si>
    <r>
      <t>잠금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상태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선수를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다른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선수로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교체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시도한다</t>
    </r>
    <r>
      <rPr>
        <sz val="10"/>
        <color rgb="FF000000"/>
        <rFont val="Calibri"/>
        <family val="2"/>
      </rPr>
      <t>.</t>
    </r>
  </si>
  <si>
    <r>
      <t>기존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배치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상태를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</si>
  <si>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t>P-LOCK-001</t>
  </si>
  <si>
    <t>기존 배치 선수 P-LOCK-001이 유지된다.</t>
  </si>
  <si>
    <r>
      <t>이미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배치된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선수를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</si>
  <si>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t>P-DUP-001 / 기존 슬롯: CM</t>
  </si>
  <si>
    <r>
      <t>중복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배치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대상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슬롯을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</si>
  <si>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t>대상 슬롯: CDM</t>
  </si>
  <si>
    <r>
      <t>동일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선수를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다른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포지션에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배치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시도한다</t>
    </r>
    <r>
      <rPr>
        <sz val="10"/>
        <color rgb="FF000000"/>
        <rFont val="Calibri"/>
        <family val="2"/>
      </rPr>
      <t>.</t>
    </r>
  </si>
  <si>
    <r>
      <t>중복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배치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결과를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</si>
  <si>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t>Player_ID: P-DUP-001</t>
  </si>
  <si>
    <t>기존 슬롯: CM</t>
  </si>
  <si>
    <r>
      <t>교체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선수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상태를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</si>
  <si>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r>
      <t>교체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대상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선수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상태를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</si>
  <si>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t>변경 P-CM-002 / 포지션 CM / OVR 109 / 급여 22</t>
  </si>
  <si>
    <t>교체 대상 선수의 정보가 확인된다.</t>
  </si>
  <si>
    <r>
      <t>다른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선수로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교체를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시도한다</t>
    </r>
    <r>
      <rPr>
        <sz val="10"/>
        <color rgb="FF000000"/>
        <rFont val="Calibri"/>
        <family val="2"/>
      </rPr>
      <t>.</t>
    </r>
  </si>
  <si>
    <r>
      <t>교체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임시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총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급여를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</si>
  <si>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t>변경 전 302/310 → 임시 300/310</t>
  </si>
  <si>
    <t>총 급여가 교체 선수 급여 기준으로 임시 변경된다.</t>
  </si>
  <si>
    <r>
      <t>교체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취소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버튼을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클릭한다</t>
    </r>
    <r>
      <rPr>
        <sz val="10"/>
        <color rgb="FF000000"/>
        <rFont val="Calibri"/>
        <family val="2"/>
      </rPr>
      <t>.</t>
    </r>
  </si>
  <si>
    <t>교체 작업이 취소된다.</t>
  </si>
  <si>
    <r>
      <t>롤백된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선수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정보를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</si>
  <si>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t>기대 유지 P-CM-001</t>
  </si>
  <si>
    <t>선수명, 포지션, OVR, 급여가 교체 전 P-CM-001 상태로 복구된다.</t>
  </si>
  <si>
    <r>
      <t>롤백된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총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급여를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</si>
  <si>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t>기대 총 급여 302/310</t>
  </si>
  <si>
    <t>총 급여가 교체 전 값인 `302/310`으로 복구된다.</t>
  </si>
  <si>
    <r>
      <t>가치가</t>
    </r>
    <r>
      <rPr>
        <sz val="10"/>
        <color rgb="FF000000"/>
        <rFont val="Calibri"/>
        <family val="2"/>
      </rPr>
      <t xml:space="preserve"> 0</t>
    </r>
    <r>
      <rPr>
        <sz val="10"/>
        <color rgb="FF000000"/>
        <rFont val="돋움"/>
        <family val="3"/>
        <charset val="129"/>
      </rPr>
      <t>인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선수를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</si>
  <si>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t>P-VAL-000 / Market_Value: 0</t>
  </si>
  <si>
    <t>선수 카드에 P-VAL-000이 표시된다.</t>
  </si>
  <si>
    <r>
      <t>선수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가치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영역을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</si>
  <si>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t>Market_Value: 0</t>
  </si>
  <si>
    <t>선수 가치 영역에 `0 BP` 또는 정책상 기본 문구가 표시된다.</t>
  </si>
  <si>
    <r>
      <t>해당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선수를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스쿼드에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배치한다</t>
    </r>
    <r>
      <rPr>
        <sz val="10"/>
        <color rgb="FF000000"/>
        <rFont val="Calibri"/>
        <family val="2"/>
      </rPr>
      <t>.</t>
    </r>
  </si>
  <si>
    <r>
      <t>배치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가치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표시를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</si>
  <si>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t>가치 영역이 유지된다.</t>
  </si>
  <si>
    <r>
      <t>비정상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값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표시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여부를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</si>
  <si>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r>
      <t>매우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큰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가치의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선수를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</si>
  <si>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t>P-VAL-HIGH / 999,999,999,999 BP</t>
  </si>
  <si>
    <t>선수 카드에 P-VAL-HIGH가 표시된다.</t>
  </si>
  <si>
    <r>
      <t>금액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포맷을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</si>
  <si>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t>999,999,999,999 BP</t>
  </si>
  <si>
    <r>
      <t>배치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금액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표시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영역을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</si>
  <si>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t>금액 텍스트가 지정 영역 안에 표시된다.</t>
  </si>
  <si>
    <r>
      <t xml:space="preserve">UI </t>
    </r>
    <r>
      <rPr>
        <sz val="10"/>
        <color rgb="FF000000"/>
        <rFont val="돋움"/>
        <family val="3"/>
        <charset val="129"/>
      </rPr>
      <t>깨짐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여부를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</si>
  <si>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r>
      <t>시세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미조회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선수를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</si>
  <si>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t>선수 카드에 시세 미조회 대상 선수가 표시된다.</t>
  </si>
  <si>
    <r>
      <t>가치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영역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표시를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</si>
  <si>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t>가치 영역에 `시세 미조회` 또는 정책상 기본값이 표시된다.</t>
  </si>
  <si>
    <r>
      <t>해당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선수를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배치한다</t>
    </r>
    <r>
      <rPr>
        <sz val="10"/>
        <color rgb="FF000000"/>
        <rFont val="Calibri"/>
        <family val="2"/>
      </rPr>
      <t>.</t>
    </r>
  </si>
  <si>
    <r>
      <t>배치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오류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표시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여부를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</si>
  <si>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r>
      <t>저장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가능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상태를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</si>
  <si>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t>시세 미조회 선수 배치 상태</t>
  </si>
  <si>
    <t>시세 미조회만을 이유로 저장 버튼이 비활성화되지 않는다.</t>
  </si>
  <si>
    <r>
      <t>변경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스쿼드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상태를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</si>
  <si>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t>Formation 4-2-3-1 / 총 급여 302/310</t>
  </si>
  <si>
    <t>변경 전 선수 배치, 포메이션, 총 급여 값이 확인된다.</t>
  </si>
  <si>
    <r>
      <t>선수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배치를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변경한다</t>
    </r>
    <r>
      <rPr>
        <sz val="10"/>
        <color rgb="FF000000"/>
        <rFont val="Calibri"/>
        <family val="2"/>
      </rPr>
      <t>.</t>
    </r>
  </si>
  <si>
    <t>변경한 선수명이 화면에 반영된다.</t>
  </si>
  <si>
    <r>
      <t>포메이션을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변경한다</t>
    </r>
    <r>
      <rPr>
        <sz val="10"/>
        <color rgb="FF000000"/>
        <rFont val="Calibri"/>
        <family val="2"/>
      </rPr>
      <t>.</t>
    </r>
  </si>
  <si>
    <t>피치 슬롯 구성이 4-4-2 기준으로 변경된다.</t>
  </si>
  <si>
    <r>
      <t>서버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저장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실패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조건을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만든다</t>
    </r>
    <r>
      <rPr>
        <sz val="10"/>
        <color rgb="FF000000"/>
        <rFont val="Calibri"/>
        <family val="2"/>
      </rPr>
      <t>.</t>
    </r>
  </si>
  <si>
    <t>저장 요청 시 실패 응답을 받을 수 있는 상태가 된다.</t>
  </si>
  <si>
    <r>
      <t>오류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메시지를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</si>
  <si>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t>오류 메시지가 1회 표시된다.</t>
  </si>
  <si>
    <r>
      <t>편집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상태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유지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여부를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</si>
  <si>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t>변경한 선수 배치, 포메이션, 전술 값이 화면에서 유지된다.</t>
  </si>
  <si>
    <r>
      <t xml:space="preserve">P-CM-001 </t>
    </r>
    <r>
      <rPr>
        <sz val="11"/>
        <color theme="1"/>
        <rFont val="돋움"/>
        <family val="3"/>
        <charset val="129"/>
      </rPr>
      <t>→</t>
    </r>
    <r>
      <rPr>
        <sz val="11"/>
        <color theme="1"/>
        <rFont val="Calibri"/>
        <family val="2"/>
      </rPr>
      <t xml:space="preserve"> P-CM-002</t>
    </r>
  </si>
  <si>
    <r>
      <t xml:space="preserve">CM </t>
    </r>
    <r>
      <rPr>
        <sz val="11"/>
        <color theme="1"/>
        <rFont val="돋움"/>
        <family val="3"/>
        <charset val="129"/>
      </rPr>
      <t>슬롯의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선수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정보가</t>
    </r>
    <r>
      <rPr>
        <sz val="11"/>
        <color theme="1"/>
        <rFont val="Calibri"/>
        <family val="2"/>
      </rPr>
      <t xml:space="preserve"> P-CM-002</t>
    </r>
    <r>
      <rPr>
        <sz val="11"/>
        <color theme="1"/>
        <rFont val="돋움"/>
        <family val="3"/>
        <charset val="129"/>
      </rPr>
      <t>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변경된다</t>
    </r>
    <r>
      <rPr>
        <sz val="11"/>
        <color theme="1"/>
        <rFont val="Calibri"/>
        <family val="2"/>
      </rPr>
      <t>.</t>
    </r>
  </si>
  <si>
    <r>
      <t xml:space="preserve">4-2-3-1 </t>
    </r>
    <r>
      <rPr>
        <sz val="11"/>
        <color theme="1"/>
        <rFont val="돋움"/>
        <family val="3"/>
        <charset val="129"/>
      </rPr>
      <t>→</t>
    </r>
    <r>
      <rPr>
        <sz val="11"/>
        <color theme="1"/>
        <rFont val="Calibri"/>
        <family val="2"/>
      </rPr>
      <t xml:space="preserve"> 4-4-2</t>
    </r>
  </si>
  <si>
    <t>변경 후 총 급여 300/310</t>
  </si>
  <si>
    <t>동일 테스트 계정</t>
  </si>
  <si>
    <t>동일 계정 접속이 완료된다.</t>
  </si>
  <si>
    <t>스쿼드 A</t>
  </si>
  <si>
    <t>스쿼드 A 화면이 표시된다.</t>
  </si>
  <si>
    <r>
      <t xml:space="preserve">P-CM-002 / Formation 4-4-2 / </t>
    </r>
    <r>
      <rPr>
        <sz val="11"/>
        <color theme="1"/>
        <rFont val="돋움"/>
        <family val="3"/>
        <charset val="129"/>
      </rPr>
      <t>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급여</t>
    </r>
    <r>
      <rPr>
        <sz val="11"/>
        <color theme="1"/>
        <rFont val="Calibri"/>
        <family val="2"/>
      </rPr>
      <t xml:space="preserve"> 300/310</t>
    </r>
  </si>
  <si>
    <t>선수 배치, 포메이션, 총 급여 값이 저장 당시와 동일하게 표시된다.</t>
  </si>
  <si>
    <t>Squad A: P-A-001~P-A-011 / Formation 4-2-3-1</t>
  </si>
  <si>
    <t>스쿼드 A가 지정된 선수 구성과 포메이션으로 표시된다.</t>
  </si>
  <si>
    <t>Squad B: P-B-001~P-B-011 / Formation 4-3-3</t>
  </si>
  <si>
    <t>스쿼드 B가 지정된 선수 구성과 포메이션으로 표시된다.</t>
  </si>
  <si>
    <t>Squad A</t>
  </si>
  <si>
    <t>스쿼드 A 버튼이 활성 상태로 표시된다.</t>
  </si>
  <si>
    <r>
      <t xml:space="preserve">Squad A </t>
    </r>
    <r>
      <rPr>
        <sz val="11"/>
        <color theme="1"/>
        <rFont val="돋움"/>
        <family val="3"/>
        <charset val="129"/>
      </rPr>
      <t>변경</t>
    </r>
    <r>
      <rPr>
        <sz val="11"/>
        <color theme="1"/>
        <rFont val="Calibri"/>
        <family val="2"/>
      </rPr>
      <t xml:space="preserve">: P-A-011 </t>
    </r>
    <r>
      <rPr>
        <sz val="11"/>
        <color theme="1"/>
        <rFont val="돋움"/>
        <family val="3"/>
        <charset val="129"/>
      </rPr>
      <t>제거</t>
    </r>
    <r>
      <rPr>
        <sz val="11"/>
        <color theme="1"/>
        <rFont val="Calibri"/>
        <family val="2"/>
      </rPr>
      <t xml:space="preserve">, P-A-012 </t>
    </r>
    <r>
      <rPr>
        <sz val="11"/>
        <color theme="1"/>
        <rFont val="돋움"/>
        <family val="3"/>
        <charset val="129"/>
      </rPr>
      <t>추가</t>
    </r>
  </si>
  <si>
    <t>스쿼드 A에 P-A-012가 반영된다.</t>
  </si>
  <si>
    <r>
      <t xml:space="preserve">Formation 4-2-3-1 </t>
    </r>
    <r>
      <rPr>
        <sz val="11"/>
        <color theme="1"/>
        <rFont val="돋움"/>
        <family val="3"/>
        <charset val="129"/>
      </rPr>
      <t>→</t>
    </r>
    <r>
      <rPr>
        <sz val="11"/>
        <color theme="1"/>
        <rFont val="Calibri"/>
        <family val="2"/>
      </rPr>
      <t xml:space="preserve"> 4-4-2</t>
    </r>
  </si>
  <si>
    <t>스쿼드 A의 포메이션이 4-4-2로 변경된다.</t>
  </si>
  <si>
    <r>
      <t xml:space="preserve">Squad B </t>
    </r>
    <r>
      <rPr>
        <sz val="11"/>
        <color theme="1"/>
        <rFont val="돋움"/>
        <family val="3"/>
        <charset val="129"/>
      </rPr>
      <t>선택</t>
    </r>
  </si>
  <si>
    <t>스쿼드 B 화면이 표시된다.</t>
  </si>
  <si>
    <r>
      <t xml:space="preserve">Squad B </t>
    </r>
    <r>
      <rPr>
        <sz val="11"/>
        <color theme="1"/>
        <rFont val="돋움"/>
        <family val="3"/>
        <charset val="129"/>
      </rPr>
      <t>기대값</t>
    </r>
    <r>
      <rPr>
        <sz val="11"/>
        <color theme="1"/>
        <rFont val="Calibri"/>
        <family val="2"/>
      </rPr>
      <t>: P-B-001~P-B-011 / Formation 4-3-3</t>
    </r>
  </si>
  <si>
    <r>
      <t>Squad A</t>
    </r>
    <r>
      <rPr>
        <sz val="11"/>
        <color theme="1"/>
        <rFont val="돋움"/>
        <family val="3"/>
        <charset val="129"/>
      </rPr>
      <t>의</t>
    </r>
    <r>
      <rPr>
        <sz val="11"/>
        <color theme="1"/>
        <rFont val="Calibri"/>
        <family val="2"/>
      </rPr>
      <t xml:space="preserve"> P-A-012</t>
    </r>
    <r>
      <rPr>
        <sz val="11"/>
        <color theme="1"/>
        <rFont val="돋움"/>
        <family val="3"/>
        <charset val="129"/>
      </rPr>
      <t>와</t>
    </r>
    <r>
      <rPr>
        <sz val="11"/>
        <color theme="1"/>
        <rFont val="Calibri"/>
        <family val="2"/>
      </rPr>
      <t xml:space="preserve"> 4-4-2 </t>
    </r>
    <r>
      <rPr>
        <sz val="11"/>
        <color theme="1"/>
        <rFont val="돋움"/>
        <family val="3"/>
        <charset val="129"/>
      </rPr>
      <t>값이</t>
    </r>
    <r>
      <rPr>
        <sz val="11"/>
        <color theme="1"/>
        <rFont val="Calibri"/>
        <family val="2"/>
      </rPr>
      <t xml:space="preserve"> Squad B</t>
    </r>
    <r>
      <rPr>
        <sz val="11"/>
        <color theme="1"/>
        <rFont val="돋움"/>
        <family val="3"/>
        <charset val="129"/>
      </rPr>
      <t>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표시되지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않는다</t>
    </r>
    <r>
      <rPr>
        <sz val="11"/>
        <color theme="1"/>
        <rFont val="Calibri"/>
        <family val="2"/>
      </rPr>
      <t>.</t>
    </r>
  </si>
  <si>
    <t>팀컬러 상세 팝업</t>
  </si>
  <si>
    <t>팝업 제목, 본문, 확인/닫기 버튼이 표시된다.</t>
  </si>
  <si>
    <t>중복 클릭 후 상태</t>
  </si>
  <si>
    <t>배경 딤 처리, 확인/취소 버튼, 닫기 버튼이 조작 가능한 상태로 유지된다.</t>
  </si>
  <si>
    <t>팝업이 닫힌다.</t>
  </si>
  <si>
    <t>포커스가 호출 버튼 또는 이전 화면 영역으로 복귀하고 선택값은 변경되지 않는다.</t>
  </si>
  <si>
    <r>
      <t>5</t>
    </r>
    <r>
      <rPr>
        <sz val="11"/>
        <color theme="1"/>
        <rFont val="돋움"/>
        <family val="3"/>
        <charset val="129"/>
      </rPr>
      <t>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이내에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로딩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인디케이터가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사라진다</t>
    </r>
    <r>
      <rPr>
        <sz val="11"/>
        <color theme="1"/>
        <rFont val="Calibri"/>
        <family val="2"/>
      </rPr>
      <t>.</t>
    </r>
  </si>
  <si>
    <r>
      <t xml:space="preserve">CM </t>
    </r>
    <r>
      <rPr>
        <sz val="11"/>
        <color theme="1"/>
        <rFont val="돋움"/>
        <family val="3"/>
        <charset val="129"/>
      </rPr>
      <t>슬롯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슬롯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또는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교체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가능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상태</t>
    </r>
  </si>
  <si>
    <r>
      <t xml:space="preserve">CM </t>
    </r>
    <r>
      <rPr>
        <sz val="11"/>
        <color theme="1"/>
        <rFont val="돋움"/>
        <family val="3"/>
        <charset val="129"/>
      </rPr>
      <t>슬롯이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배치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가능한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상태로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표시된다</t>
    </r>
    <r>
      <rPr>
        <sz val="11"/>
        <color theme="1"/>
        <rFont val="Calibri"/>
        <family val="2"/>
      </rPr>
      <t>.</t>
    </r>
  </si>
  <si>
    <r>
      <t xml:space="preserve">P-CM-001 </t>
    </r>
    <r>
      <rPr>
        <sz val="11"/>
        <color theme="1"/>
        <rFont val="돋움"/>
        <family val="3"/>
        <charset val="129"/>
      </rPr>
      <t>→</t>
    </r>
    <r>
      <rPr>
        <sz val="11"/>
        <color theme="1"/>
        <rFont val="Calibri"/>
        <family val="2"/>
      </rPr>
      <t xml:space="preserve"> CM </t>
    </r>
    <r>
      <rPr>
        <sz val="11"/>
        <color theme="1"/>
        <rFont val="돋움"/>
        <family val="3"/>
        <charset val="129"/>
      </rPr>
      <t>슬롯</t>
    </r>
  </si>
  <si>
    <r>
      <t xml:space="preserve">CM </t>
    </r>
    <r>
      <rPr>
        <sz val="11"/>
        <color theme="1"/>
        <rFont val="돋움"/>
        <family val="3"/>
        <charset val="129"/>
      </rPr>
      <t>슬롯에</t>
    </r>
    <r>
      <rPr>
        <sz val="11"/>
        <color theme="1"/>
        <rFont val="Calibri"/>
        <family val="2"/>
      </rPr>
      <t xml:space="preserve"> P-CM-001</t>
    </r>
    <r>
      <rPr>
        <sz val="11"/>
        <color theme="1"/>
        <rFont val="돋움"/>
        <family val="3"/>
        <charset val="129"/>
      </rPr>
      <t>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선수명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돋움"/>
        <family val="3"/>
        <charset val="129"/>
      </rPr>
      <t>시즌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돋움"/>
        <family val="3"/>
        <charset val="129"/>
      </rPr>
      <t>포지션</t>
    </r>
    <r>
      <rPr>
        <sz val="11"/>
        <color theme="1"/>
        <rFont val="Calibri"/>
        <family val="2"/>
      </rPr>
      <t>, OVR</t>
    </r>
    <r>
      <rPr>
        <sz val="11"/>
        <color theme="1"/>
        <rFont val="돋움"/>
        <family val="3"/>
        <charset val="129"/>
      </rPr>
      <t>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표시된다</t>
    </r>
    <r>
      <rPr>
        <sz val="11"/>
        <color theme="1"/>
        <rFont val="Calibri"/>
        <family val="2"/>
      </rPr>
      <t>.</t>
    </r>
  </si>
  <si>
    <r>
      <t>P-CM-001</t>
    </r>
    <r>
      <rPr>
        <sz val="11"/>
        <color theme="1"/>
        <rFont val="돋움"/>
        <family val="3"/>
        <charset val="129"/>
      </rPr>
      <t>은</t>
    </r>
    <r>
      <rPr>
        <sz val="11"/>
        <color theme="1"/>
        <rFont val="Calibri"/>
        <family val="2"/>
      </rPr>
      <t xml:space="preserve"> CM </t>
    </r>
    <r>
      <rPr>
        <sz val="11"/>
        <color theme="1"/>
        <rFont val="돋움"/>
        <family val="3"/>
        <charset val="129"/>
      </rPr>
      <t>슬롯</t>
    </r>
    <r>
      <rPr>
        <sz val="11"/>
        <color theme="1"/>
        <rFont val="Calibri"/>
        <family val="2"/>
      </rPr>
      <t xml:space="preserve"> 1</t>
    </r>
    <r>
      <rPr>
        <sz val="11"/>
        <color theme="1"/>
        <rFont val="돋움"/>
        <family val="3"/>
        <charset val="129"/>
      </rPr>
      <t>곳에만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배치된다</t>
    </r>
    <r>
      <rPr>
        <sz val="11"/>
        <color theme="1"/>
        <rFont val="Calibri"/>
        <family val="2"/>
      </rPr>
      <t>.</t>
    </r>
  </si>
  <si>
    <r>
      <t xml:space="preserve">ST </t>
    </r>
    <r>
      <rPr>
        <sz val="11"/>
        <color theme="1"/>
        <rFont val="돋움"/>
        <family val="3"/>
        <charset val="129"/>
      </rPr>
      <t>슬롯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기존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선수</t>
    </r>
    <r>
      <rPr>
        <sz val="11"/>
        <color theme="1"/>
        <rFont val="Calibri"/>
        <family val="2"/>
      </rPr>
      <t>: P-ST-001</t>
    </r>
  </si>
  <si>
    <r>
      <t xml:space="preserve">ST </t>
    </r>
    <r>
      <rPr>
        <sz val="11"/>
        <color theme="1"/>
        <rFont val="돋움"/>
        <family val="3"/>
        <charset val="129"/>
      </rPr>
      <t>슬롯에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기존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선수가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표시된다</t>
    </r>
    <r>
      <rPr>
        <sz val="11"/>
        <color theme="1"/>
        <rFont val="Calibri"/>
        <family val="2"/>
      </rPr>
      <t>.</t>
    </r>
  </si>
  <si>
    <r>
      <t xml:space="preserve">P-GK-001 </t>
    </r>
    <r>
      <rPr>
        <sz val="11"/>
        <color theme="1"/>
        <rFont val="돋움"/>
        <family val="3"/>
        <charset val="129"/>
      </rPr>
      <t>→</t>
    </r>
    <r>
      <rPr>
        <sz val="11"/>
        <color theme="1"/>
        <rFont val="Calibri"/>
        <family val="2"/>
      </rPr>
      <t xml:space="preserve"> ST </t>
    </r>
    <r>
      <rPr>
        <sz val="11"/>
        <color theme="1"/>
        <rFont val="돋움"/>
        <family val="3"/>
        <charset val="129"/>
      </rPr>
      <t>슬롯</t>
    </r>
  </si>
  <si>
    <r>
      <t xml:space="preserve">GK </t>
    </r>
    <r>
      <rPr>
        <sz val="11"/>
        <color theme="1"/>
        <rFont val="돋움"/>
        <family val="3"/>
        <charset val="129"/>
      </rPr>
      <t>선수는</t>
    </r>
    <r>
      <rPr>
        <sz val="11"/>
        <color theme="1"/>
        <rFont val="Calibri"/>
        <family val="2"/>
      </rPr>
      <t xml:space="preserve"> ST </t>
    </r>
    <r>
      <rPr>
        <sz val="11"/>
        <color theme="1"/>
        <rFont val="돋움"/>
        <family val="3"/>
        <charset val="129"/>
      </rPr>
      <t>슬롯에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배치되지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않는다</t>
    </r>
    <r>
      <rPr>
        <sz val="11"/>
        <color theme="1"/>
        <rFont val="Calibri"/>
        <family val="2"/>
      </rPr>
      <t>.</t>
    </r>
  </si>
  <si>
    <r>
      <t xml:space="preserve">ST </t>
    </r>
    <r>
      <rPr>
        <sz val="11"/>
        <color theme="1"/>
        <rFont val="돋움"/>
        <family val="3"/>
        <charset val="129"/>
      </rPr>
      <t>슬롯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기존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선수</t>
    </r>
    <r>
      <rPr>
        <sz val="11"/>
        <color theme="1"/>
        <rFont val="Calibri"/>
        <family val="2"/>
      </rPr>
      <t>: P-ST-001</t>
    </r>
  </si>
  <si>
    <r>
      <t xml:space="preserve">GK </t>
    </r>
    <r>
      <rPr>
        <sz val="11"/>
        <color theme="1"/>
        <rFont val="돋움"/>
        <family val="3"/>
        <charset val="129"/>
      </rPr>
      <t>선수는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기존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위치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또는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선수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리스트에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유지된다</t>
    </r>
    <r>
      <rPr>
        <sz val="11"/>
        <color theme="1"/>
        <rFont val="Calibri"/>
        <family val="2"/>
      </rPr>
      <t>.</t>
    </r>
  </si>
  <si>
    <r>
      <t xml:space="preserve">GK, DF, MF, FW </t>
    </r>
    <r>
      <rPr>
        <sz val="11"/>
        <color theme="1"/>
        <rFont val="돋움"/>
        <family val="3"/>
        <charset val="129"/>
      </rPr>
      <t>후보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존재</t>
    </r>
  </si>
  <si>
    <r>
      <t xml:space="preserve">GK, DF, MF, FW </t>
    </r>
    <r>
      <rPr>
        <sz val="11"/>
        <color theme="1"/>
        <rFont val="돋움"/>
        <family val="3"/>
        <charset val="129"/>
      </rPr>
      <t>포지션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후보가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자동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편성에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필요한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수량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이상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존재한다</t>
    </r>
    <r>
      <rPr>
        <sz val="11"/>
        <color theme="1"/>
        <rFont val="Calibri"/>
        <family val="2"/>
      </rPr>
      <t>.</t>
    </r>
  </si>
  <si>
    <r>
      <t xml:space="preserve">P-ST-001 / OVR 115 / </t>
    </r>
    <r>
      <rPr>
        <sz val="11"/>
        <color theme="1"/>
        <rFont val="돋움"/>
        <family val="3"/>
        <charset val="129"/>
      </rPr>
      <t>급여</t>
    </r>
    <r>
      <rPr>
        <sz val="11"/>
        <color theme="1"/>
        <rFont val="Calibri"/>
        <family val="2"/>
      </rPr>
      <t xml:space="preserve"> 28, P-ST-002 / OVR 112 / </t>
    </r>
    <r>
      <rPr>
        <sz val="11"/>
        <color theme="1"/>
        <rFont val="돋움"/>
        <family val="3"/>
        <charset val="129"/>
      </rPr>
      <t>급여</t>
    </r>
    <r>
      <rPr>
        <sz val="11"/>
        <color theme="1"/>
        <rFont val="Calibri"/>
        <family val="2"/>
      </rPr>
      <t xml:space="preserve"> 25</t>
    </r>
  </si>
  <si>
    <r>
      <t xml:space="preserve">P-ST-001 +5 / P-ST-002 +5 / </t>
    </r>
    <r>
      <rPr>
        <sz val="11"/>
        <color theme="1"/>
        <rFont val="돋움"/>
        <family val="3"/>
        <charset val="129"/>
      </rPr>
      <t>가치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정보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표시</t>
    </r>
  </si>
  <si>
    <r>
      <t xml:space="preserve">ST </t>
    </r>
    <r>
      <rPr>
        <sz val="11"/>
        <color theme="1"/>
        <rFont val="돋움"/>
        <family val="3"/>
        <charset val="129"/>
      </rPr>
      <t>후보</t>
    </r>
    <r>
      <rPr>
        <sz val="11"/>
        <color theme="1"/>
        <rFont val="Calibri"/>
        <family val="2"/>
      </rPr>
      <t xml:space="preserve"> P-ST-001 / P-ST-002</t>
    </r>
  </si>
  <si>
    <r>
      <t xml:space="preserve">P-FW-NEG-001 / </t>
    </r>
    <r>
      <rPr>
        <sz val="11"/>
        <color theme="1"/>
        <rFont val="돋움"/>
        <family val="3"/>
        <charset val="129"/>
      </rPr>
      <t>음바페</t>
    </r>
    <r>
      <rPr>
        <sz val="11"/>
        <color theme="1"/>
        <rFont val="Calibri"/>
        <family val="2"/>
      </rPr>
      <t xml:space="preserve"> 24TOTY +5 / ST / OVR 116 / </t>
    </r>
    <r>
      <rPr>
        <sz val="11"/>
        <color theme="1"/>
        <rFont val="돋움"/>
        <family val="3"/>
        <charset val="129"/>
      </rPr>
      <t>급여</t>
    </r>
    <r>
      <rPr>
        <sz val="11"/>
        <color theme="1"/>
        <rFont val="Calibri"/>
        <family val="2"/>
      </rPr>
      <t xml:space="preserve"> 30</t>
    </r>
  </si>
  <si>
    <r>
      <t xml:space="preserve">GK </t>
    </r>
    <r>
      <rPr>
        <sz val="11"/>
        <color theme="1"/>
        <rFont val="돋움"/>
        <family val="3"/>
        <charset val="129"/>
      </rPr>
      <t>슬롯의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기존</t>
    </r>
    <r>
      <rPr>
        <sz val="11"/>
        <color theme="1"/>
        <rFont val="Calibri"/>
        <family val="2"/>
      </rPr>
      <t xml:space="preserve"> Player_ID</t>
    </r>
    <r>
      <rPr>
        <sz val="11"/>
        <color theme="1"/>
        <rFont val="돋움"/>
        <family val="3"/>
        <charset val="129"/>
      </rPr>
      <t>가</t>
    </r>
    <r>
      <rPr>
        <sz val="11"/>
        <color theme="1"/>
        <rFont val="Calibri"/>
        <family val="2"/>
      </rPr>
      <t xml:space="preserve"> P-GK-001</t>
    </r>
    <r>
      <rPr>
        <sz val="11"/>
        <color theme="1"/>
        <rFont val="돋움"/>
        <family val="3"/>
        <charset val="129"/>
      </rPr>
      <t>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확인된다</t>
    </r>
    <r>
      <rPr>
        <sz val="11"/>
        <color theme="1"/>
        <rFont val="Calibri"/>
        <family val="2"/>
      </rPr>
      <t>.</t>
    </r>
  </si>
  <si>
    <r>
      <t xml:space="preserve">P-FW-NEG-001 </t>
    </r>
    <r>
      <rPr>
        <sz val="11"/>
        <color theme="1"/>
        <rFont val="돋움"/>
        <family val="3"/>
        <charset val="129"/>
      </rPr>
      <t>→</t>
    </r>
    <r>
      <rPr>
        <sz val="11"/>
        <color theme="1"/>
        <rFont val="Calibri"/>
        <family val="2"/>
      </rPr>
      <t xml:space="preserve"> GK </t>
    </r>
    <r>
      <rPr>
        <sz val="11"/>
        <color theme="1"/>
        <rFont val="돋움"/>
        <family val="3"/>
        <charset val="129"/>
      </rPr>
      <t>슬롯</t>
    </r>
  </si>
  <si>
    <r>
      <t xml:space="preserve">CM </t>
    </r>
    <r>
      <rPr>
        <sz val="11"/>
        <color theme="1"/>
        <rFont val="돋움"/>
        <family val="3"/>
        <charset val="129"/>
      </rPr>
      <t>슬롯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정보가</t>
    </r>
    <r>
      <rPr>
        <sz val="11"/>
        <color theme="1"/>
        <rFont val="Calibri"/>
        <family val="2"/>
      </rPr>
      <t xml:space="preserve"> P-CM-002</t>
    </r>
    <r>
      <rPr>
        <sz val="11"/>
        <color theme="1"/>
        <rFont val="돋움"/>
        <family val="3"/>
        <charset val="129"/>
      </rPr>
      <t>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변경된다</t>
    </r>
    <r>
      <rPr>
        <sz val="11"/>
        <color theme="1"/>
        <rFont val="Calibri"/>
        <family val="2"/>
      </rPr>
      <t>.</t>
    </r>
  </si>
  <si>
    <r>
      <t xml:space="preserve">P-CM-002 / </t>
    </r>
    <r>
      <rPr>
        <sz val="11"/>
        <color theme="1"/>
        <rFont val="돋움"/>
        <family val="3"/>
        <charset val="129"/>
      </rPr>
      <t>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급여</t>
    </r>
    <r>
      <rPr>
        <sz val="11"/>
        <color theme="1"/>
        <rFont val="Calibri"/>
        <family val="2"/>
      </rPr>
      <t xml:space="preserve"> 300/310</t>
    </r>
  </si>
  <si>
    <r>
      <t>팀컬러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조건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충족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직전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상태를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</si>
  <si>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r>
      <t>4</t>
    </r>
    <r>
      <rPr>
        <sz val="11"/>
        <color theme="1"/>
        <rFont val="돋움"/>
        <family val="3"/>
        <charset val="129"/>
      </rPr>
      <t>단계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팀컬러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효과는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비활성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상태이다</t>
    </r>
    <r>
      <rPr>
        <sz val="11"/>
        <color theme="1"/>
        <rFont val="Calibri"/>
        <family val="2"/>
      </rPr>
      <t>.</t>
    </r>
  </si>
  <si>
    <r>
      <t>조건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충족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선수를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배치한다</t>
    </r>
    <r>
      <rPr>
        <sz val="10"/>
        <color rgb="FF000000"/>
        <rFont val="Calibri"/>
        <family val="2"/>
      </rPr>
      <t>.</t>
    </r>
  </si>
  <si>
    <r>
      <t>팀컬러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단계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표시를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</si>
  <si>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r>
      <t>팀컬러</t>
    </r>
    <r>
      <rPr>
        <sz val="10"/>
        <color rgb="FF000000"/>
        <rFont val="Calibri"/>
        <family val="2"/>
      </rPr>
      <t xml:space="preserve"> 4</t>
    </r>
    <r>
      <rPr>
        <sz val="10"/>
        <color rgb="FF000000"/>
        <rFont val="돋움"/>
        <family val="3"/>
        <charset val="129"/>
      </rPr>
      <t>단계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적용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상태를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</si>
  <si>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r>
      <t>효과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적용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대상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목록을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</si>
  <si>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r>
      <t>능력치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잔존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여부를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</si>
  <si>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r>
      <t>선수별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급여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합계를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</si>
  <si>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r>
      <t>저장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상태를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</si>
  <si>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r>
      <t>총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급여가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제한값과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동일한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선발</t>
    </r>
    <r>
      <rPr>
        <sz val="10"/>
        <color rgb="FF000000"/>
        <rFont val="Calibri"/>
        <family val="2"/>
      </rPr>
      <t xml:space="preserve"> 11</t>
    </r>
    <r>
      <rPr>
        <sz val="10"/>
        <color rgb="FF000000"/>
        <rFont val="돋움"/>
        <family val="3"/>
        <charset val="129"/>
      </rPr>
      <t>명을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배치한다</t>
    </r>
    <r>
      <rPr>
        <sz val="10"/>
        <color rgb="FF000000"/>
        <rFont val="Calibri"/>
        <family val="2"/>
      </rPr>
      <t>.</t>
    </r>
  </si>
  <si>
    <r>
      <t>급여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초과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안내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메시지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표시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여부를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</si>
  <si>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r>
      <t>총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급여가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제한값을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초과하도록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선발</t>
    </r>
    <r>
      <rPr>
        <sz val="10"/>
        <color rgb="FF000000"/>
        <rFont val="Calibri"/>
        <family val="2"/>
      </rPr>
      <t xml:space="preserve"> 11</t>
    </r>
    <r>
      <rPr>
        <sz val="10"/>
        <color rgb="FF000000"/>
        <rFont val="돋움"/>
        <family val="3"/>
        <charset val="129"/>
      </rPr>
      <t>명을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배치한다</t>
    </r>
    <r>
      <rPr>
        <sz val="10"/>
        <color rgb="FF000000"/>
        <rFont val="Calibri"/>
        <family val="2"/>
      </rPr>
      <t>.</t>
    </r>
  </si>
  <si>
    <r>
      <t>“</t>
    </r>
    <r>
      <rPr>
        <sz val="11"/>
        <color theme="1"/>
        <rFont val="돋움"/>
        <family val="3"/>
        <charset val="129"/>
      </rPr>
      <t>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급여를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초과했습니다</t>
    </r>
    <r>
      <rPr>
        <sz val="11"/>
        <color theme="1"/>
        <rFont val="Calibri"/>
        <family val="2"/>
      </rPr>
      <t xml:space="preserve">.” </t>
    </r>
    <r>
      <rPr>
        <sz val="11"/>
        <color theme="1"/>
        <rFont val="돋움"/>
        <family val="3"/>
        <charset val="129"/>
      </rPr>
      <t>메시지가</t>
    </r>
    <r>
      <rPr>
        <sz val="11"/>
        <color theme="1"/>
        <rFont val="Calibri"/>
        <family val="2"/>
      </rPr>
      <t xml:space="preserve"> 1</t>
    </r>
    <r>
      <rPr>
        <sz val="11"/>
        <color theme="1"/>
        <rFont val="돋움"/>
        <family val="3"/>
        <charset val="129"/>
      </rPr>
      <t>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표시된다</t>
    </r>
    <r>
      <rPr>
        <sz val="11"/>
        <color theme="1"/>
        <rFont val="Calibri"/>
        <family val="2"/>
      </rPr>
      <t>.</t>
    </r>
  </si>
  <si>
    <r>
      <t>“</t>
    </r>
    <r>
      <rPr>
        <sz val="11"/>
        <color theme="1"/>
        <rFont val="돋움"/>
        <family val="3"/>
        <charset val="129"/>
      </rPr>
      <t>선발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선수</t>
    </r>
    <r>
      <rPr>
        <sz val="11"/>
        <color theme="1"/>
        <rFont val="Calibri"/>
        <family val="2"/>
      </rPr>
      <t xml:space="preserve"> 11</t>
    </r>
    <r>
      <rPr>
        <sz val="11"/>
        <color theme="1"/>
        <rFont val="돋움"/>
        <family val="3"/>
        <charset val="129"/>
      </rPr>
      <t>명을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모두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배치해야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합니다</t>
    </r>
    <r>
      <rPr>
        <sz val="11"/>
        <color theme="1"/>
        <rFont val="Calibri"/>
        <family val="2"/>
      </rPr>
      <t xml:space="preserve">.” </t>
    </r>
    <r>
      <rPr>
        <sz val="11"/>
        <color theme="1"/>
        <rFont val="돋움"/>
        <family val="3"/>
        <charset val="129"/>
      </rPr>
      <t>메시지가</t>
    </r>
    <r>
      <rPr>
        <sz val="11"/>
        <color theme="1"/>
        <rFont val="Calibri"/>
        <family val="2"/>
      </rPr>
      <t xml:space="preserve"> 1</t>
    </r>
    <r>
      <rPr>
        <sz val="11"/>
        <color theme="1"/>
        <rFont val="돋움"/>
        <family val="3"/>
        <charset val="129"/>
      </rPr>
      <t>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표시된다</t>
    </r>
    <r>
      <rPr>
        <sz val="11"/>
        <color theme="1"/>
        <rFont val="Calibri"/>
        <family val="2"/>
      </rPr>
      <t>.</t>
    </r>
  </si>
  <si>
    <r>
      <t xml:space="preserve">P-S11-001~P-S11-011 / </t>
    </r>
    <r>
      <rPr>
        <sz val="11"/>
        <color theme="1"/>
        <rFont val="돋움"/>
        <family val="3"/>
        <charset val="129"/>
      </rPr>
      <t>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급여</t>
    </r>
    <r>
      <rPr>
        <sz val="11"/>
        <color theme="1"/>
        <rFont val="Calibri"/>
        <family val="2"/>
      </rPr>
      <t xml:space="preserve"> 302/310</t>
    </r>
  </si>
  <si>
    <r>
      <t>필수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포지션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부족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처리</t>
    </r>
  </si>
  <si>
    <r>
      <t>DF 6</t>
    </r>
    <r>
      <rPr>
        <sz val="11"/>
        <color theme="1"/>
        <rFont val="돋움"/>
        <family val="3"/>
        <charset val="129"/>
      </rPr>
      <t>명</t>
    </r>
    <r>
      <rPr>
        <sz val="11"/>
        <color theme="1"/>
        <rFont val="Calibri"/>
        <family val="2"/>
      </rPr>
      <t xml:space="preserve"> / MF 7</t>
    </r>
    <r>
      <rPr>
        <sz val="11"/>
        <color theme="1"/>
        <rFont val="돋움"/>
        <family val="3"/>
        <charset val="129"/>
      </rPr>
      <t>명</t>
    </r>
    <r>
      <rPr>
        <sz val="11"/>
        <color theme="1"/>
        <rFont val="Calibri"/>
        <family val="2"/>
      </rPr>
      <t xml:space="preserve"> / FW 4</t>
    </r>
    <r>
      <rPr>
        <sz val="11"/>
        <color theme="1"/>
        <rFont val="돋움"/>
        <family val="3"/>
        <charset val="129"/>
      </rPr>
      <t>명</t>
    </r>
  </si>
  <si>
    <r>
      <t xml:space="preserve">GK </t>
    </r>
    <r>
      <rPr>
        <sz val="11"/>
        <color theme="1"/>
        <rFont val="돋움"/>
        <family val="3"/>
        <charset val="129"/>
      </rPr>
      <t>슬롯</t>
    </r>
  </si>
  <si>
    <r>
      <t>GK</t>
    </r>
    <r>
      <rPr>
        <sz val="11"/>
        <color theme="1"/>
        <rFont val="돋움"/>
        <family val="3"/>
        <charset val="129"/>
      </rPr>
      <t>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아닌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선수가</t>
    </r>
    <r>
      <rPr>
        <sz val="11"/>
        <color theme="1"/>
        <rFont val="Calibri"/>
        <family val="2"/>
      </rPr>
      <t xml:space="preserve"> GK </t>
    </r>
    <r>
      <rPr>
        <sz val="11"/>
        <color theme="1"/>
        <rFont val="돋움"/>
        <family val="3"/>
        <charset val="129"/>
      </rPr>
      <t>슬롯에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임의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배치되지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않는다</t>
    </r>
    <r>
      <rPr>
        <sz val="11"/>
        <color theme="1"/>
        <rFont val="Calibri"/>
        <family val="2"/>
      </rPr>
      <t>.</t>
    </r>
  </si>
  <si>
    <r>
      <t xml:space="preserve">“GK </t>
    </r>
    <r>
      <rPr>
        <sz val="11"/>
        <color theme="1"/>
        <rFont val="돋움"/>
        <family val="3"/>
        <charset val="129"/>
      </rPr>
      <t>선수가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부족합니다</t>
    </r>
    <r>
      <rPr>
        <sz val="11"/>
        <color theme="1"/>
        <rFont val="Calibri"/>
        <family val="2"/>
      </rPr>
      <t xml:space="preserve">.” </t>
    </r>
    <r>
      <rPr>
        <sz val="11"/>
        <color theme="1"/>
        <rFont val="돋움"/>
        <family val="3"/>
        <charset val="129"/>
      </rPr>
      <t>메시지가</t>
    </r>
    <r>
      <rPr>
        <sz val="11"/>
        <color theme="1"/>
        <rFont val="Calibri"/>
        <family val="2"/>
      </rPr>
      <t xml:space="preserve"> 1</t>
    </r>
    <r>
      <rPr>
        <sz val="11"/>
        <color theme="1"/>
        <rFont val="돋움"/>
        <family val="3"/>
        <charset val="129"/>
      </rPr>
      <t>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표시된다</t>
    </r>
    <r>
      <rPr>
        <sz val="11"/>
        <color theme="1"/>
        <rFont val="Calibri"/>
        <family val="2"/>
      </rPr>
      <t>.</t>
    </r>
  </si>
  <si>
    <r>
      <t xml:space="preserve">GK </t>
    </r>
    <r>
      <rPr>
        <sz val="11"/>
        <color theme="1"/>
        <rFont val="돋움"/>
        <family val="3"/>
        <charset val="129"/>
      </rPr>
      <t>부족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상태</t>
    </r>
  </si>
  <si>
    <r>
      <t xml:space="preserve">P-LOCK-001 / </t>
    </r>
    <r>
      <rPr>
        <sz val="11"/>
        <color theme="1"/>
        <rFont val="돋움"/>
        <family val="3"/>
        <charset val="129"/>
      </rPr>
      <t>기존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슬롯</t>
    </r>
    <r>
      <rPr>
        <sz val="11"/>
        <color theme="1"/>
        <rFont val="Calibri"/>
        <family val="2"/>
      </rPr>
      <t xml:space="preserve"> CM</t>
    </r>
  </si>
  <si>
    <r>
      <t>P-LOCK-001</t>
    </r>
    <r>
      <rPr>
        <sz val="11"/>
        <color theme="1"/>
        <rFont val="돋움"/>
        <family val="3"/>
        <charset val="129"/>
      </rPr>
      <t>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기존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슬롯에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배치되어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있다</t>
    </r>
    <r>
      <rPr>
        <sz val="11"/>
        <color theme="1"/>
        <rFont val="Calibri"/>
        <family val="2"/>
      </rPr>
      <t>.</t>
    </r>
  </si>
  <si>
    <r>
      <t>P-CM-002</t>
    </r>
    <r>
      <rPr>
        <sz val="11"/>
        <color theme="1"/>
        <rFont val="돋움"/>
        <family val="3"/>
        <charset val="129"/>
      </rPr>
      <t>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교체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가능한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선수로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표시된다</t>
    </r>
    <r>
      <rPr>
        <sz val="11"/>
        <color theme="1"/>
        <rFont val="Calibri"/>
        <family val="2"/>
      </rPr>
      <t>.</t>
    </r>
  </si>
  <si>
    <r>
      <t xml:space="preserve">P-LOCK-001 </t>
    </r>
    <r>
      <rPr>
        <sz val="11"/>
        <color theme="1"/>
        <rFont val="돋움"/>
        <family val="3"/>
        <charset val="129"/>
      </rPr>
      <t>→</t>
    </r>
    <r>
      <rPr>
        <sz val="11"/>
        <color theme="1"/>
        <rFont val="Calibri"/>
        <family val="2"/>
      </rPr>
      <t xml:space="preserve"> P-CM-002</t>
    </r>
  </si>
  <si>
    <r>
      <t xml:space="preserve">CDM </t>
    </r>
    <r>
      <rPr>
        <sz val="11"/>
        <color theme="1"/>
        <rFont val="돋움"/>
        <family val="3"/>
        <charset val="129"/>
      </rPr>
      <t>슬롯이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배치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가능한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상태로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표시된다</t>
    </r>
    <r>
      <rPr>
        <sz val="11"/>
        <color theme="1"/>
        <rFont val="Calibri"/>
        <family val="2"/>
      </rPr>
      <t>.</t>
    </r>
  </si>
  <si>
    <r>
      <t xml:space="preserve">P-DUP-001 </t>
    </r>
    <r>
      <rPr>
        <sz val="11"/>
        <color theme="1"/>
        <rFont val="돋움"/>
        <family val="3"/>
        <charset val="129"/>
      </rPr>
      <t>→</t>
    </r>
    <r>
      <rPr>
        <sz val="11"/>
        <color theme="1"/>
        <rFont val="Calibri"/>
        <family val="2"/>
      </rPr>
      <t xml:space="preserve"> CDM </t>
    </r>
    <r>
      <rPr>
        <sz val="11"/>
        <color theme="1"/>
        <rFont val="돋움"/>
        <family val="3"/>
        <charset val="129"/>
      </rPr>
      <t>슬롯</t>
    </r>
  </si>
  <si>
    <r>
      <t>P-DUP-001</t>
    </r>
    <r>
      <rPr>
        <sz val="11"/>
        <color theme="1"/>
        <rFont val="돋움"/>
        <family val="3"/>
        <charset val="129"/>
      </rPr>
      <t>은</t>
    </r>
    <r>
      <rPr>
        <sz val="11"/>
        <color theme="1"/>
        <rFont val="Calibri"/>
        <family val="2"/>
      </rPr>
      <t xml:space="preserve"> 2</t>
    </r>
    <r>
      <rPr>
        <sz val="11"/>
        <color theme="1"/>
        <rFont val="돋움"/>
        <family val="3"/>
        <charset val="129"/>
      </rPr>
      <t>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이상의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포지션에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배치되지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않는다</t>
    </r>
    <r>
      <rPr>
        <sz val="11"/>
        <color theme="1"/>
        <rFont val="Calibri"/>
        <family val="2"/>
      </rPr>
      <t>.</t>
    </r>
  </si>
  <si>
    <r>
      <t>“</t>
    </r>
    <r>
      <rPr>
        <sz val="11"/>
        <color theme="1"/>
        <rFont val="돋움"/>
        <family val="3"/>
        <charset val="129"/>
      </rPr>
      <t>이미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배치된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선수입니다</t>
    </r>
    <r>
      <rPr>
        <sz val="11"/>
        <color theme="1"/>
        <rFont val="Calibri"/>
        <family val="2"/>
      </rPr>
      <t xml:space="preserve">.” </t>
    </r>
    <r>
      <rPr>
        <sz val="11"/>
        <color theme="1"/>
        <rFont val="돋움"/>
        <family val="3"/>
        <charset val="129"/>
      </rPr>
      <t>메시지가</t>
    </r>
    <r>
      <rPr>
        <sz val="11"/>
        <color theme="1"/>
        <rFont val="Calibri"/>
        <family val="2"/>
      </rPr>
      <t xml:space="preserve"> 1</t>
    </r>
    <r>
      <rPr>
        <sz val="11"/>
        <color theme="1"/>
        <rFont val="돋움"/>
        <family val="3"/>
        <charset val="129"/>
      </rPr>
      <t>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표시된다</t>
    </r>
    <r>
      <rPr>
        <sz val="11"/>
        <color theme="1"/>
        <rFont val="Calibri"/>
        <family val="2"/>
      </rPr>
      <t>.</t>
    </r>
  </si>
  <si>
    <r>
      <t xml:space="preserve">CM </t>
    </r>
    <r>
      <rPr>
        <sz val="11"/>
        <color theme="1"/>
        <rFont val="돋움"/>
        <family val="3"/>
        <charset val="129"/>
      </rPr>
      <t>슬롯의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기존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배치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상태가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유지된다</t>
    </r>
    <r>
      <rPr>
        <sz val="11"/>
        <color theme="1"/>
        <rFont val="Calibri"/>
        <family val="2"/>
      </rPr>
      <t>.</t>
    </r>
  </si>
  <si>
    <r>
      <t xml:space="preserve">P-VAL-000 </t>
    </r>
    <r>
      <rPr>
        <sz val="11"/>
        <color theme="1"/>
        <rFont val="돋움"/>
        <family val="3"/>
        <charset val="129"/>
      </rPr>
      <t>→</t>
    </r>
    <r>
      <rPr>
        <sz val="11"/>
        <color theme="1"/>
        <rFont val="Calibri"/>
        <family val="2"/>
      </rPr>
      <t xml:space="preserve"> CM </t>
    </r>
    <r>
      <rPr>
        <sz val="11"/>
        <color theme="1"/>
        <rFont val="돋움"/>
        <family val="3"/>
        <charset val="129"/>
      </rPr>
      <t>슬롯</t>
    </r>
  </si>
  <si>
    <r>
      <t xml:space="preserve">NaN, undefined, </t>
    </r>
    <r>
      <rPr>
        <sz val="11"/>
        <color theme="1"/>
        <rFont val="돋움"/>
        <family val="3"/>
        <charset val="129"/>
      </rPr>
      <t>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값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돋움"/>
        <family val="3"/>
        <charset val="129"/>
      </rPr>
      <t>깨진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텍스트가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표시되지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않는다</t>
    </r>
    <r>
      <rPr>
        <sz val="11"/>
        <color theme="1"/>
        <rFont val="Calibri"/>
        <family val="2"/>
      </rPr>
      <t>.</t>
    </r>
  </si>
  <si>
    <r>
      <t xml:space="preserve">P-VAL-HIGH </t>
    </r>
    <r>
      <rPr>
        <sz val="11"/>
        <color theme="1"/>
        <rFont val="돋움"/>
        <family val="3"/>
        <charset val="129"/>
      </rPr>
      <t>→</t>
    </r>
    <r>
      <rPr>
        <sz val="11"/>
        <color theme="1"/>
        <rFont val="Calibri"/>
        <family val="2"/>
      </rPr>
      <t xml:space="preserve"> ST </t>
    </r>
    <r>
      <rPr>
        <sz val="11"/>
        <color theme="1"/>
        <rFont val="돋움"/>
        <family val="3"/>
        <charset val="129"/>
      </rPr>
      <t>슬롯</t>
    </r>
  </si>
  <si>
    <r>
      <t xml:space="preserve">Market API </t>
    </r>
    <r>
      <rPr>
        <sz val="11"/>
        <color theme="1"/>
        <rFont val="돋움"/>
        <family val="3"/>
        <charset val="129"/>
      </rPr>
      <t>응답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없음</t>
    </r>
  </si>
  <si>
    <r>
      <t xml:space="preserve">P-VAL-NODATA </t>
    </r>
    <r>
      <rPr>
        <sz val="11"/>
        <color theme="1"/>
        <rFont val="돋움"/>
        <family val="3"/>
        <charset val="129"/>
      </rPr>
      <t>→</t>
    </r>
    <r>
      <rPr>
        <sz val="11"/>
        <color theme="1"/>
        <rFont val="Calibri"/>
        <family val="2"/>
      </rPr>
      <t xml:space="preserve"> CM </t>
    </r>
    <r>
      <rPr>
        <sz val="11"/>
        <color theme="1"/>
        <rFont val="돋움"/>
        <family val="3"/>
        <charset val="129"/>
      </rPr>
      <t>슬롯</t>
    </r>
  </si>
  <si>
    <r>
      <t xml:space="preserve">Network Off </t>
    </r>
    <r>
      <rPr>
        <sz val="11"/>
        <color theme="1"/>
        <rFont val="돋움"/>
        <family val="3"/>
        <charset val="129"/>
      </rPr>
      <t>또는</t>
    </r>
    <r>
      <rPr>
        <sz val="11"/>
        <color theme="1"/>
        <rFont val="Calibri"/>
        <family val="2"/>
      </rPr>
      <t xml:space="preserve"> Save API 500</t>
    </r>
  </si>
  <si>
    <r>
      <t>스쿼드</t>
    </r>
    <r>
      <rPr>
        <sz val="10"/>
        <color rgb="FF000000"/>
        <rFont val="Calibri"/>
        <family val="2"/>
      </rPr>
      <t xml:space="preserve"> A</t>
    </r>
    <r>
      <rPr>
        <sz val="10"/>
        <color rgb="FF000000"/>
        <rFont val="돋움"/>
        <family val="3"/>
        <charset val="129"/>
      </rPr>
      <t>의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변경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상태를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기록한다</t>
    </r>
    <r>
      <rPr>
        <sz val="10"/>
        <color rgb="FF000000"/>
        <rFont val="Calibri"/>
        <family val="2"/>
      </rPr>
      <t>.</t>
    </r>
  </si>
  <si>
    <r>
      <t>특정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선수를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교체한다</t>
    </r>
    <r>
      <rPr>
        <sz val="10"/>
        <color rgb="FF000000"/>
        <rFont val="Calibri"/>
        <family val="2"/>
      </rPr>
      <t>.</t>
    </r>
  </si>
  <si>
    <r>
      <t>총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급여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변경값을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</si>
  <si>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r>
      <t>로그아웃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동일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계정으로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재접속한다</t>
    </r>
    <r>
      <rPr>
        <sz val="10"/>
        <color rgb="FF000000"/>
        <rFont val="Calibri"/>
        <family val="2"/>
      </rPr>
      <t>.</t>
    </r>
  </si>
  <si>
    <r>
      <t>스쿼드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관리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화면에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진입한다</t>
    </r>
    <r>
      <rPr>
        <sz val="10"/>
        <color rgb="FF000000"/>
        <rFont val="Calibri"/>
        <family val="2"/>
      </rPr>
      <t>.</t>
    </r>
  </si>
  <si>
    <r>
      <t>저장한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상태가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유지되는지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</si>
  <si>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r>
      <t>스쿼드</t>
    </r>
    <r>
      <rPr>
        <sz val="10"/>
        <color rgb="FF000000"/>
        <rFont val="Calibri"/>
        <family val="2"/>
      </rPr>
      <t xml:space="preserve"> B</t>
    </r>
    <r>
      <rPr>
        <sz val="10"/>
        <color rgb="FF000000"/>
        <rFont val="돋움"/>
        <family val="3"/>
        <charset val="129"/>
      </rPr>
      <t>의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초기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상태를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</si>
  <si>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r>
      <t>스쿼드</t>
    </r>
    <r>
      <rPr>
        <sz val="10"/>
        <color rgb="FF000000"/>
        <rFont val="Calibri"/>
        <family val="2"/>
      </rPr>
      <t xml:space="preserve"> A</t>
    </r>
    <r>
      <rPr>
        <sz val="10"/>
        <color rgb="FF000000"/>
        <rFont val="돋움"/>
        <family val="3"/>
        <charset val="129"/>
      </rPr>
      <t>로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전환한다</t>
    </r>
    <r>
      <rPr>
        <sz val="10"/>
        <color rgb="FF000000"/>
        <rFont val="Calibri"/>
        <family val="2"/>
      </rPr>
      <t>.</t>
    </r>
  </si>
  <si>
    <r>
      <t>스쿼드</t>
    </r>
    <r>
      <rPr>
        <sz val="10"/>
        <color rgb="FF000000"/>
        <rFont val="Calibri"/>
        <family val="2"/>
      </rPr>
      <t xml:space="preserve"> A</t>
    </r>
    <r>
      <rPr>
        <sz val="10"/>
        <color rgb="FF000000"/>
        <rFont val="돋움"/>
        <family val="3"/>
        <charset val="129"/>
      </rPr>
      <t>의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선수를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변경한다</t>
    </r>
    <r>
      <rPr>
        <sz val="10"/>
        <color rgb="FF000000"/>
        <rFont val="Calibri"/>
        <family val="2"/>
      </rPr>
      <t>.</t>
    </r>
  </si>
  <si>
    <r>
      <t>스쿼드</t>
    </r>
    <r>
      <rPr>
        <sz val="10"/>
        <color rgb="FF000000"/>
        <rFont val="Calibri"/>
        <family val="2"/>
      </rPr>
      <t xml:space="preserve"> A</t>
    </r>
    <r>
      <rPr>
        <sz val="10"/>
        <color rgb="FF000000"/>
        <rFont val="돋움"/>
        <family val="3"/>
        <charset val="129"/>
      </rPr>
      <t>의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포메이션을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변경한다</t>
    </r>
    <r>
      <rPr>
        <sz val="10"/>
        <color rgb="FF000000"/>
        <rFont val="Calibri"/>
        <family val="2"/>
      </rPr>
      <t>.</t>
    </r>
  </si>
  <si>
    <r>
      <t>스쿼드</t>
    </r>
    <r>
      <rPr>
        <sz val="10"/>
        <color rgb="FF000000"/>
        <rFont val="Calibri"/>
        <family val="2"/>
      </rPr>
      <t xml:space="preserve"> A</t>
    </r>
    <r>
      <rPr>
        <sz val="10"/>
        <color rgb="FF000000"/>
        <rFont val="돋움"/>
        <family val="3"/>
        <charset val="129"/>
      </rPr>
      <t>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저장한다</t>
    </r>
    <r>
      <rPr>
        <sz val="10"/>
        <color rgb="FF000000"/>
        <rFont val="Calibri"/>
        <family val="2"/>
      </rPr>
      <t>.</t>
    </r>
  </si>
  <si>
    <r>
      <t>스쿼드</t>
    </r>
    <r>
      <rPr>
        <sz val="10"/>
        <color rgb="FF000000"/>
        <rFont val="Calibri"/>
        <family val="2"/>
      </rPr>
      <t xml:space="preserve"> B</t>
    </r>
    <r>
      <rPr>
        <sz val="10"/>
        <color rgb="FF000000"/>
        <rFont val="돋움"/>
        <family val="3"/>
        <charset val="129"/>
      </rPr>
      <t>로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전환한다</t>
    </r>
    <r>
      <rPr>
        <sz val="10"/>
        <color rgb="FF000000"/>
        <rFont val="Calibri"/>
        <family val="2"/>
      </rPr>
      <t>.</t>
    </r>
  </si>
  <si>
    <r>
      <t>스쿼드</t>
    </r>
    <r>
      <rPr>
        <sz val="10"/>
        <color rgb="FF000000"/>
        <rFont val="Calibri"/>
        <family val="2"/>
      </rPr>
      <t xml:space="preserve"> B </t>
    </r>
    <r>
      <rPr>
        <sz val="10"/>
        <color rgb="FF000000"/>
        <rFont val="돋움"/>
        <family val="3"/>
        <charset val="129"/>
      </rPr>
      <t>데이터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오염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여부를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</si>
  <si>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r>
      <t xml:space="preserve">UI </t>
    </r>
    <r>
      <rPr>
        <sz val="10"/>
        <color rgb="FF000000"/>
        <rFont val="돋움"/>
        <family val="3"/>
        <charset val="129"/>
      </rPr>
      <t>예외</t>
    </r>
  </si>
  <si>
    <r>
      <t>팝업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호출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버튼을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클릭한다</t>
    </r>
    <r>
      <rPr>
        <sz val="10"/>
        <color rgb="FF000000"/>
        <rFont val="Calibri"/>
        <family val="2"/>
      </rPr>
      <t>.</t>
    </r>
  </si>
  <si>
    <r>
      <t>팝업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제목과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버튼을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</si>
  <si>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r>
      <t>팝업이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열린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상태에서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동일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버튼을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빠르게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반복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클릭한다</t>
    </r>
    <r>
      <rPr>
        <sz val="10"/>
        <color rgb="FF000000"/>
        <rFont val="Calibri"/>
        <family val="2"/>
      </rPr>
      <t>.</t>
    </r>
  </si>
  <si>
    <r>
      <t>팝업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조작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가능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상태를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</si>
  <si>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r>
      <t>팝업을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닫는다</t>
    </r>
    <r>
      <rPr>
        <sz val="10"/>
        <color rgb="FF000000"/>
        <rFont val="Calibri"/>
        <family val="2"/>
      </rPr>
      <t>.</t>
    </r>
  </si>
  <si>
    <r>
      <t>포커스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복귀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상태를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</si>
  <si>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r>
      <t>스쿼드</t>
    </r>
    <r>
      <rPr>
        <sz val="11"/>
        <color theme="1"/>
        <rFont val="Calibri"/>
        <family val="2"/>
      </rPr>
      <t xml:space="preserve"> A</t>
    </r>
    <r>
      <rPr>
        <sz val="11"/>
        <color theme="1"/>
        <rFont val="돋움"/>
        <family val="3"/>
        <charset val="129"/>
      </rPr>
      <t>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선발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영역을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확인한다</t>
    </r>
    <r>
      <rPr>
        <sz val="11"/>
        <color theme="1"/>
        <rFont val="Calibri"/>
        <family val="2"/>
      </rPr>
      <t>.</t>
    </r>
  </si>
  <si>
    <r>
      <t>배치된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선발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선수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목록을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확인한다</t>
    </r>
    <r>
      <rPr>
        <sz val="11"/>
        <color theme="1"/>
        <rFont val="Calibri"/>
        <family val="2"/>
      </rPr>
      <t>.</t>
    </r>
  </si>
  <si>
    <r>
      <t>우측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선수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리스트에서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배치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대상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선수를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확인한다</t>
    </r>
    <r>
      <rPr>
        <sz val="11"/>
        <color theme="1"/>
        <rFont val="Calibri"/>
        <family val="2"/>
      </rPr>
      <t>.</t>
    </r>
  </si>
  <si>
    <r>
      <t xml:space="preserve">GK </t>
    </r>
    <r>
      <rPr>
        <sz val="11"/>
        <color theme="1"/>
        <rFont val="돋움"/>
        <family val="3"/>
        <charset val="129"/>
      </rPr>
      <t>선수를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선택한다</t>
    </r>
    <r>
      <rPr>
        <sz val="11"/>
        <color theme="1"/>
        <rFont val="Calibri"/>
        <family val="2"/>
      </rPr>
      <t>.</t>
    </r>
  </si>
  <si>
    <r>
      <t xml:space="preserve">GK </t>
    </r>
    <r>
      <rPr>
        <sz val="10"/>
        <color rgb="FF000000"/>
        <rFont val="돋움"/>
        <family val="3"/>
        <charset val="129"/>
      </rPr>
      <t>슬롯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상태를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</si>
  <si>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r>
      <t>총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급여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변경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여부를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</si>
  <si>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r>
      <t>선수를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교체한다</t>
    </r>
    <r>
      <rPr>
        <sz val="10"/>
        <color rgb="FF000000"/>
        <rFont val="Calibri"/>
        <family val="2"/>
      </rPr>
      <t>.</t>
    </r>
  </si>
  <si>
    <r>
      <t>교체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총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급여를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</si>
  <si>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r>
      <t>다른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화면으로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이동한다</t>
    </r>
    <r>
      <rPr>
        <sz val="10"/>
        <color rgb="FF000000"/>
        <rFont val="Calibri"/>
        <family val="2"/>
      </rPr>
      <t>.</t>
    </r>
  </si>
  <si>
    <r>
      <t>저장된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교체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결과를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</si>
  <si>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r>
      <t>조건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충족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직전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효과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상태를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</si>
  <si>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r>
      <t>팀컬러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조건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충족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대상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선수를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</si>
  <si>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r>
      <t>효과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적용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대상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선수를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</si>
  <si>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r>
      <t>능력치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반영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여부를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</si>
  <si>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r>
      <t>조건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충족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선수를</t>
    </r>
    <r>
      <rPr>
        <sz val="10"/>
        <color rgb="FF000000"/>
        <rFont val="Calibri"/>
        <family val="2"/>
      </rPr>
      <t xml:space="preserve"> 1</t>
    </r>
    <r>
      <rPr>
        <sz val="10"/>
        <color rgb="FF000000"/>
        <rFont val="돋움"/>
        <family val="3"/>
        <charset val="129"/>
      </rPr>
      <t>명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제거한다</t>
    </r>
    <r>
      <rPr>
        <sz val="10"/>
        <color rgb="FF000000"/>
        <rFont val="Calibri"/>
        <family val="2"/>
      </rPr>
      <t>.</t>
    </r>
  </si>
  <si>
    <r>
      <t>팀컬러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단계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상태를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</si>
  <si>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r>
      <t>총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급여가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제한값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미만인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선발</t>
    </r>
    <r>
      <rPr>
        <sz val="10"/>
        <color rgb="FF000000"/>
        <rFont val="Calibri"/>
        <family val="2"/>
      </rPr>
      <t xml:space="preserve"> 11</t>
    </r>
    <r>
      <rPr>
        <sz val="10"/>
        <color rgb="FF000000"/>
        <rFont val="돋움"/>
        <family val="3"/>
        <charset val="129"/>
      </rPr>
      <t>명을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배치한다</t>
    </r>
    <r>
      <rPr>
        <sz val="10"/>
        <color rgb="FF000000"/>
        <rFont val="Calibri"/>
        <family val="2"/>
      </rPr>
      <t>.</t>
    </r>
  </si>
  <si>
    <r>
      <t>메인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로비에서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구단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관리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메뉴를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선택한다</t>
    </r>
    <r>
      <rPr>
        <sz val="11"/>
        <color theme="1"/>
        <rFont val="Calibri"/>
        <family val="2"/>
      </rPr>
      <t>.</t>
    </r>
    <phoneticPr fontId="6" type="noConversion"/>
  </si>
  <si>
    <t>FC온라인 테스트 케이스</t>
    <phoneticPr fontId="6" type="noConversion"/>
  </si>
  <si>
    <t>PASS</t>
    <phoneticPr fontId="12" type="noConversion"/>
  </si>
  <si>
    <t>Pass</t>
  </si>
  <si>
    <t>선수 행 마우스 오버 시 액션 버튼 노출 확인</t>
  </si>
  <si>
    <t>선수 목록에서 특정 선수 행에 마우스를 올렸을 때 해당 선수의 액션 버튼이 정상 노출되는지 확인한다.</t>
  </si>
  <si>
    <t>획득 특성 확인을 위한 선수 자세히 보기 진입 선행 경로 검증</t>
  </si>
  <si>
    <t>마우스를 올린 선수 행 우측에 액션 버튼이 노출된다.</t>
  </si>
  <si>
    <t>마우스를 다른 선수 행으로 이동한다.</t>
  </si>
  <si>
    <t>다른 선수</t>
  </si>
  <si>
    <r>
      <t>돋보기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버튼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클릭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시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선수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자세히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보기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진입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</t>
    </r>
  </si>
  <si>
    <r>
      <t>선수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행에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노출된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돋보기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버튼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클릭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시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선택한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선수의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자세히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보기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화면으로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정상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진입하는지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</si>
  <si>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r>
      <t>획득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특성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위한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상세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화면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진입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경로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검증</t>
    </r>
  </si>
  <si>
    <t>해당 선수 행에 액션 버튼이 노출된다.</t>
  </si>
  <si>
    <t>노출된 돋보기 버튼을 클릭한다.</t>
  </si>
  <si>
    <t>돋보기 버튼</t>
  </si>
  <si>
    <t>선수 자세히 보기 화면이 정상 표시된다.</t>
  </si>
  <si>
    <t>획득 특성 영역을 확인한다.</t>
  </si>
  <si>
    <t>획득 특성 영역</t>
  </si>
  <si>
    <r>
      <t>선수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자세히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보기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화면이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정상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표시된다</t>
    </r>
    <r>
      <rPr>
        <sz val="11"/>
        <color theme="1"/>
        <rFont val="Calibri"/>
        <family val="2"/>
      </rPr>
      <t>.</t>
    </r>
  </si>
  <si>
    <r>
      <t>획득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특성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영역을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확인한다</t>
    </r>
    <r>
      <rPr>
        <sz val="11"/>
        <color theme="1"/>
        <rFont val="Calibri"/>
        <family val="2"/>
      </rPr>
      <t>.</t>
    </r>
  </si>
  <si>
    <r>
      <t>획득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특성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영역</t>
    </r>
  </si>
  <si>
    <t>8강 기준 획득 특성이 활성화 상태로 표시된다.</t>
  </si>
  <si>
    <r>
      <t>8</t>
    </r>
    <r>
      <rPr>
        <sz val="11"/>
        <color theme="1"/>
        <rFont val="돋움"/>
        <family val="3"/>
        <charset val="129"/>
      </rPr>
      <t>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기준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획득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특성이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활성화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상태로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표시된다</t>
    </r>
    <r>
      <rPr>
        <sz val="11"/>
        <color theme="1"/>
        <rFont val="Calibri"/>
        <family val="2"/>
      </rPr>
      <t>.</t>
    </r>
  </si>
  <si>
    <t>11강 기준 획득 특성이 활성화 상태로 표시된다.</t>
  </si>
  <si>
    <r>
      <t>11</t>
    </r>
    <r>
      <rPr>
        <sz val="11"/>
        <color theme="1"/>
        <rFont val="돋움"/>
        <family val="3"/>
        <charset val="129"/>
      </rPr>
      <t>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기준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획득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특성이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활성화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상태로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표시된다</t>
    </r>
    <r>
      <rPr>
        <sz val="11"/>
        <color theme="1"/>
        <rFont val="Calibri"/>
        <family val="2"/>
      </rPr>
      <t>.</t>
    </r>
  </si>
  <si>
    <t>팝업 종료 후 화면</t>
    <phoneticPr fontId="6" type="noConversion"/>
  </si>
  <si>
    <t>Button_ID: BTN_TEAMCOLOR_DETAIL</t>
    <phoneticPr fontId="6" type="noConversion"/>
  </si>
  <si>
    <t>선수 상세 진입</t>
  </si>
  <si>
    <t>구단 관리 &gt; 스쿼드 관리 화면 진입 / 선수 목록에 WB 주드 벨링엄 선수 표시 / 마우스 조작 가능</t>
  </si>
  <si>
    <t>Positive,Hover,PlayerDetail,UI</t>
  </si>
  <si>
    <t>선수 목록에서 WB 주드 벨링엄 선수 행에 마우스를 올린다.</t>
  </si>
  <si>
    <t>WB 주드 벨링엄 n강</t>
  </si>
  <si>
    <t>액션 버튼이 노출된 상태에서 버튼 영역을 확인한다.</t>
  </si>
  <si>
    <t>돋보기 버튼이 표시되며 클릭 가능한 상태로 노출된다.</t>
  </si>
  <si>
    <t>WB 주드 벨링엄 선수 행의 액션 버튼은 사라지고 현재 마우스를 올린 선수 행에만 액션 버튼이 노출된다.</t>
  </si>
  <si>
    <t>마우스를 선수 목록 외부 영역으로 이동한다.</t>
  </si>
  <si>
    <t>Mouse_Out</t>
  </si>
  <si>
    <t>선수 행에 노출된 액션 버튼이 사라진다.</t>
  </si>
  <si>
    <r>
      <t>구단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관리</t>
    </r>
    <r>
      <rPr>
        <sz val="10"/>
        <color rgb="FF000000"/>
        <rFont val="Calibri"/>
        <family val="2"/>
      </rPr>
      <t xml:space="preserve"> &gt; </t>
    </r>
    <r>
      <rPr>
        <sz val="10"/>
        <color rgb="FF000000"/>
        <rFont val="돋움"/>
        <family val="3"/>
        <charset val="129"/>
      </rPr>
      <t>스쿼드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관리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화면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진입</t>
    </r>
    <r>
      <rPr>
        <sz val="10"/>
        <color rgb="FF000000"/>
        <rFont val="Calibri"/>
        <family val="2"/>
      </rPr>
      <t xml:space="preserve"> / </t>
    </r>
    <r>
      <rPr>
        <sz val="10"/>
        <color rgb="FF000000"/>
        <rFont val="돋움"/>
        <family val="3"/>
        <charset val="129"/>
      </rPr>
      <t>선수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목록에</t>
    </r>
    <r>
      <rPr>
        <sz val="10"/>
        <color rgb="FF000000"/>
        <rFont val="Calibri"/>
        <family val="2"/>
      </rPr>
      <t xml:space="preserve"> WB </t>
    </r>
    <r>
      <rPr>
        <sz val="10"/>
        <color rgb="FF000000"/>
        <rFont val="돋움"/>
        <family val="3"/>
        <charset val="129"/>
      </rPr>
      <t>주드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벨링엄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선수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표시</t>
    </r>
    <r>
      <rPr>
        <sz val="10"/>
        <color rgb="FF000000"/>
        <rFont val="Calibri"/>
        <family val="2"/>
      </rPr>
      <t xml:space="preserve"> / </t>
    </r>
    <r>
      <rPr>
        <sz val="10"/>
        <color rgb="FF000000"/>
        <rFont val="돋움"/>
        <family val="3"/>
        <charset val="129"/>
      </rPr>
      <t>선수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행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마우스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오버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시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돋보기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버튼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노출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가능</t>
    </r>
  </si>
  <si>
    <t>Positive,PlayerDetail,Button</t>
  </si>
  <si>
    <r>
      <t xml:space="preserve">WB </t>
    </r>
    <r>
      <rPr>
        <sz val="10"/>
        <color rgb="FF000000"/>
        <rFont val="돋움"/>
        <family val="3"/>
        <charset val="129"/>
      </rPr>
      <t>주드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벨링엄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선수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행에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마우스를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올린다</t>
    </r>
    <r>
      <rPr>
        <sz val="10"/>
        <color rgb="FF000000"/>
        <rFont val="Calibri"/>
        <family val="2"/>
      </rPr>
      <t>.</t>
    </r>
  </si>
  <si>
    <r>
      <t xml:space="preserve">WB </t>
    </r>
    <r>
      <rPr>
        <sz val="10"/>
        <color rgb="FF000000"/>
        <rFont val="돋움"/>
        <family val="3"/>
        <charset val="129"/>
      </rPr>
      <t>주드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벨링엄</t>
    </r>
    <r>
      <rPr>
        <sz val="10"/>
        <color rgb="FF000000"/>
        <rFont val="Calibri"/>
        <family val="2"/>
      </rPr>
      <t xml:space="preserve"> n</t>
    </r>
    <r>
      <rPr>
        <sz val="10"/>
        <color rgb="FF000000"/>
        <rFont val="돋움"/>
        <family val="3"/>
        <charset val="129"/>
      </rPr>
      <t>강</t>
    </r>
  </si>
  <si>
    <r>
      <t xml:space="preserve">WB </t>
    </r>
    <r>
      <rPr>
        <sz val="10"/>
        <color rgb="FF000000"/>
        <rFont val="돋움"/>
        <family val="3"/>
        <charset val="129"/>
      </rPr>
      <t>주드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벨링엄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선수의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자세히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보기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화면이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표시된다</t>
    </r>
    <r>
      <rPr>
        <sz val="10"/>
        <color rgb="FF000000"/>
        <rFont val="Calibri"/>
        <family val="2"/>
      </rPr>
      <t>.</t>
    </r>
  </si>
  <si>
    <r>
      <t>자세히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보기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화면의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선수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정보를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확인한다</t>
    </r>
    <r>
      <rPr>
        <sz val="10"/>
        <color rgb="FF000000"/>
        <rFont val="Calibri"/>
        <family val="2"/>
      </rPr>
      <t>.</t>
    </r>
  </si>
  <si>
    <t>선수명, 강화 단계, 기본 정보가 선택한 선수와 동일하게 표시된다.</t>
  </si>
  <si>
    <t>자세히 보기 화면을 닫는다.</t>
  </si>
  <si>
    <r>
      <t>자세히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보기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화면이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닫히고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스쿼드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관리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화면으로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복귀한다</t>
    </r>
    <r>
      <rPr>
        <sz val="10"/>
        <color rgb="FF000000"/>
        <rFont val="Calibri"/>
        <family val="2"/>
      </rPr>
      <t>.</t>
    </r>
  </si>
  <si>
    <r>
      <t>획득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특성</t>
    </r>
  </si>
  <si>
    <r>
      <t>5</t>
    </r>
    <r>
      <rPr>
        <sz val="11"/>
        <color theme="1"/>
        <rFont val="돋움"/>
        <family val="3"/>
        <charset val="129"/>
      </rPr>
      <t>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선수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획득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특성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활성화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</t>
    </r>
  </si>
  <si>
    <r>
      <t>선수의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시즌과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관계없이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강화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단계가</t>
    </r>
    <r>
      <rPr>
        <sz val="11"/>
        <color theme="1"/>
        <rFont val="Calibri"/>
        <family val="2"/>
      </rPr>
      <t xml:space="preserve"> 5</t>
    </r>
    <r>
      <rPr>
        <sz val="11"/>
        <color theme="1"/>
        <rFont val="돋움"/>
        <family val="3"/>
        <charset val="129"/>
      </rPr>
      <t>강일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획득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특성이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활성화되는지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확인한다</t>
    </r>
    <r>
      <rPr>
        <sz val="11"/>
        <color theme="1"/>
        <rFont val="Calibri"/>
        <family val="2"/>
      </rPr>
      <t>.</t>
    </r>
  </si>
  <si>
    <t>Positive,AcquiredTrait,Enhance5</t>
  </si>
  <si>
    <r>
      <t>강화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단계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기준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획득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특성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활성화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검증</t>
    </r>
  </si>
  <si>
    <r>
      <t xml:space="preserve">WB </t>
    </r>
    <r>
      <rPr>
        <sz val="11"/>
        <color theme="1"/>
        <rFont val="돋움"/>
        <family val="3"/>
        <charset val="129"/>
      </rPr>
      <t>주드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벨링엄</t>
    </r>
    <r>
      <rPr>
        <sz val="11"/>
        <color theme="1"/>
        <rFont val="Calibri"/>
        <family val="2"/>
      </rPr>
      <t xml:space="preserve"> 5</t>
    </r>
    <r>
      <rPr>
        <sz val="11"/>
        <color theme="1"/>
        <rFont val="돋움"/>
        <family val="3"/>
        <charset val="129"/>
      </rPr>
      <t>강의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자세히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보기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화면에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진입한다</t>
    </r>
    <r>
      <rPr>
        <sz val="11"/>
        <color theme="1"/>
        <rFont val="Calibri"/>
        <family val="2"/>
      </rPr>
      <t>.</t>
    </r>
  </si>
  <si>
    <r>
      <t xml:space="preserve">WB </t>
    </r>
    <r>
      <rPr>
        <sz val="11"/>
        <color theme="1"/>
        <rFont val="돋움"/>
        <family val="3"/>
        <charset val="129"/>
      </rPr>
      <t>주드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벨링엄</t>
    </r>
    <r>
      <rPr>
        <sz val="11"/>
        <color theme="1"/>
        <rFont val="Calibri"/>
        <family val="2"/>
      </rPr>
      <t xml:space="preserve"> 5</t>
    </r>
    <r>
      <rPr>
        <sz val="11"/>
        <color theme="1"/>
        <rFont val="돋움"/>
        <family val="3"/>
        <charset val="129"/>
      </rPr>
      <t>강</t>
    </r>
  </si>
  <si>
    <t>획득 특성 영역이 표시된다.</t>
  </si>
  <si>
    <r>
      <t>획득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특성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영역이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표시된다</t>
    </r>
    <r>
      <rPr>
        <sz val="11"/>
        <color theme="1"/>
        <rFont val="Calibri"/>
        <family val="2"/>
      </rPr>
      <t>.</t>
    </r>
  </si>
  <si>
    <t>획득 특성 활성화 상태를 확인한다.</t>
  </si>
  <si>
    <r>
      <t>획득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특성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활성화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상태를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확인한다</t>
    </r>
    <r>
      <rPr>
        <sz val="11"/>
        <color theme="1"/>
        <rFont val="Calibri"/>
        <family val="2"/>
      </rPr>
      <t>.</t>
    </r>
  </si>
  <si>
    <t>5강 기준 획득 특성이 활성화 상태로 표시된다.</t>
  </si>
  <si>
    <r>
      <t>8</t>
    </r>
    <r>
      <rPr>
        <sz val="11"/>
        <color theme="1"/>
        <rFont val="돋움"/>
        <family val="3"/>
        <charset val="129"/>
      </rPr>
      <t>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선수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획득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특성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활성화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</t>
    </r>
  </si>
  <si>
    <r>
      <t>선수의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시즌과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관계없이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강화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단계가</t>
    </r>
    <r>
      <rPr>
        <sz val="11"/>
        <color theme="1"/>
        <rFont val="Calibri"/>
        <family val="2"/>
      </rPr>
      <t xml:space="preserve"> 8</t>
    </r>
    <r>
      <rPr>
        <sz val="11"/>
        <color theme="1"/>
        <rFont val="돋움"/>
        <family val="3"/>
        <charset val="129"/>
      </rPr>
      <t>강일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획득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특성이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활성화되는지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확인한다</t>
    </r>
    <r>
      <rPr>
        <sz val="11"/>
        <color theme="1"/>
        <rFont val="Calibri"/>
        <family val="2"/>
      </rPr>
      <t>.</t>
    </r>
  </si>
  <si>
    <r>
      <t>구단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관리</t>
    </r>
    <r>
      <rPr>
        <sz val="11"/>
        <color theme="1"/>
        <rFont val="Calibri"/>
        <family val="2"/>
      </rPr>
      <t xml:space="preserve"> &gt; </t>
    </r>
    <r>
      <rPr>
        <sz val="11"/>
        <color theme="1"/>
        <rFont val="돋움"/>
        <family val="3"/>
        <charset val="129"/>
      </rPr>
      <t>스쿼드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관리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화면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진입</t>
    </r>
    <r>
      <rPr>
        <sz val="11"/>
        <color theme="1"/>
        <rFont val="Calibri"/>
        <family val="2"/>
      </rPr>
      <t xml:space="preserve"> / WB </t>
    </r>
    <r>
      <rPr>
        <sz val="11"/>
        <color theme="1"/>
        <rFont val="돋움"/>
        <family val="3"/>
        <charset val="129"/>
      </rPr>
      <t>주드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벨링엄</t>
    </r>
    <r>
      <rPr>
        <sz val="11"/>
        <color theme="1"/>
        <rFont val="Calibri"/>
        <family val="2"/>
      </rPr>
      <t xml:space="preserve"> 8</t>
    </r>
    <r>
      <rPr>
        <sz val="11"/>
        <color theme="1"/>
        <rFont val="돋움"/>
        <family val="3"/>
        <charset val="129"/>
      </rPr>
      <t>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보유</t>
    </r>
    <r>
      <rPr>
        <sz val="11"/>
        <color theme="1"/>
        <rFont val="Calibri"/>
        <family val="2"/>
      </rPr>
      <t xml:space="preserve"> / </t>
    </r>
    <r>
      <rPr>
        <sz val="11"/>
        <color theme="1"/>
        <rFont val="돋움"/>
        <family val="3"/>
        <charset val="129"/>
      </rPr>
      <t>선수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자세히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보기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진입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가능</t>
    </r>
  </si>
  <si>
    <t>Positive,AcquiredTrait,Enhance8</t>
  </si>
  <si>
    <r>
      <t>강화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단계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기준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획득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특성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활성화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검증</t>
    </r>
  </si>
  <si>
    <t>WB 주드 벨링엄 8강의 자세히 보기 화면에 진입한다.</t>
  </si>
  <si>
    <t>WB 주드 벨링엄 8강</t>
  </si>
  <si>
    <r>
      <t xml:space="preserve">WB </t>
    </r>
    <r>
      <rPr>
        <sz val="11"/>
        <color theme="1"/>
        <rFont val="돋움"/>
        <family val="3"/>
        <charset val="129"/>
      </rPr>
      <t>주드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벨링엄</t>
    </r>
    <r>
      <rPr>
        <sz val="11"/>
        <color theme="1"/>
        <rFont val="Calibri"/>
        <family val="2"/>
      </rPr>
      <t xml:space="preserve"> 8</t>
    </r>
    <r>
      <rPr>
        <sz val="11"/>
        <color theme="1"/>
        <rFont val="돋움"/>
        <family val="3"/>
        <charset val="129"/>
      </rPr>
      <t>강</t>
    </r>
  </si>
  <si>
    <r>
      <t>11</t>
    </r>
    <r>
      <rPr>
        <sz val="11"/>
        <color theme="1"/>
        <rFont val="돋움"/>
        <family val="3"/>
        <charset val="129"/>
      </rPr>
      <t>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선수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획득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특성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활성화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</t>
    </r>
  </si>
  <si>
    <r>
      <t>선수의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시즌과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관계없이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강화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단계가</t>
    </r>
    <r>
      <rPr>
        <sz val="11"/>
        <color theme="1"/>
        <rFont val="Calibri"/>
        <family val="2"/>
      </rPr>
      <t xml:space="preserve"> 11</t>
    </r>
    <r>
      <rPr>
        <sz val="11"/>
        <color theme="1"/>
        <rFont val="돋움"/>
        <family val="3"/>
        <charset val="129"/>
      </rPr>
      <t>강일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획득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특성이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활성화되는지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확인한다</t>
    </r>
    <r>
      <rPr>
        <sz val="11"/>
        <color theme="1"/>
        <rFont val="Calibri"/>
        <family val="2"/>
      </rPr>
      <t>.</t>
    </r>
  </si>
  <si>
    <t>Positive,AcquiredTrait,Enhance11</t>
  </si>
  <si>
    <r>
      <t xml:space="preserve">WB </t>
    </r>
    <r>
      <rPr>
        <sz val="11"/>
        <color theme="1"/>
        <rFont val="돋움"/>
        <family val="3"/>
        <charset val="129"/>
      </rPr>
      <t>주드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벨링엄</t>
    </r>
    <r>
      <rPr>
        <sz val="11"/>
        <color theme="1"/>
        <rFont val="Calibri"/>
        <family val="2"/>
      </rPr>
      <t xml:space="preserve"> 11</t>
    </r>
    <r>
      <rPr>
        <sz val="11"/>
        <color theme="1"/>
        <rFont val="돋움"/>
        <family val="3"/>
        <charset val="129"/>
      </rPr>
      <t>강의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자세히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보기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화면에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진입한다</t>
    </r>
    <r>
      <rPr>
        <sz val="11"/>
        <color theme="1"/>
        <rFont val="Calibri"/>
        <family val="2"/>
      </rPr>
      <t>.</t>
    </r>
  </si>
  <si>
    <r>
      <t xml:space="preserve">WB </t>
    </r>
    <r>
      <rPr>
        <sz val="11"/>
        <color theme="1"/>
        <rFont val="돋움"/>
        <family val="3"/>
        <charset val="129"/>
      </rPr>
      <t>주드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벨링엄</t>
    </r>
    <r>
      <rPr>
        <sz val="11"/>
        <color theme="1"/>
        <rFont val="Calibri"/>
        <family val="2"/>
      </rPr>
      <t xml:space="preserve"> 11</t>
    </r>
    <r>
      <rPr>
        <sz val="11"/>
        <color theme="1"/>
        <rFont val="돋움"/>
        <family val="3"/>
        <charset val="129"/>
      </rPr>
      <t>강</t>
    </r>
  </si>
  <si>
    <r>
      <t>5</t>
    </r>
    <r>
      <rPr>
        <sz val="11"/>
        <color theme="1"/>
        <rFont val="돋움"/>
        <family val="3"/>
        <charset val="129"/>
      </rPr>
      <t>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미만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선수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획득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특성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비활성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</t>
    </r>
  </si>
  <si>
    <r>
      <t>선수의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강화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단계가</t>
    </r>
    <r>
      <rPr>
        <sz val="11"/>
        <color theme="1"/>
        <rFont val="Calibri"/>
        <family val="2"/>
      </rPr>
      <t xml:space="preserve"> 5</t>
    </r>
    <r>
      <rPr>
        <sz val="11"/>
        <color theme="1"/>
        <rFont val="돋움"/>
        <family val="3"/>
        <charset val="129"/>
      </rPr>
      <t>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미만일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획득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특성이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비활성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상태로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표시되는지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확인한다</t>
    </r>
    <r>
      <rPr>
        <sz val="11"/>
        <color theme="1"/>
        <rFont val="Calibri"/>
        <family val="2"/>
      </rPr>
      <t>.</t>
    </r>
  </si>
  <si>
    <r>
      <t>구단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관리</t>
    </r>
    <r>
      <rPr>
        <sz val="11"/>
        <color theme="1"/>
        <rFont val="Calibri"/>
        <family val="2"/>
      </rPr>
      <t xml:space="preserve"> &gt; </t>
    </r>
    <r>
      <rPr>
        <sz val="11"/>
        <color theme="1"/>
        <rFont val="돋움"/>
        <family val="3"/>
        <charset val="129"/>
      </rPr>
      <t>스쿼드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관리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화면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진입</t>
    </r>
    <r>
      <rPr>
        <sz val="11"/>
        <color theme="1"/>
        <rFont val="Calibri"/>
        <family val="2"/>
      </rPr>
      <t xml:space="preserve"> / WB </t>
    </r>
    <r>
      <rPr>
        <sz val="11"/>
        <color theme="1"/>
        <rFont val="돋움"/>
        <family val="3"/>
        <charset val="129"/>
      </rPr>
      <t>주드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벨링엄</t>
    </r>
    <r>
      <rPr>
        <sz val="11"/>
        <color theme="1"/>
        <rFont val="Calibri"/>
        <family val="2"/>
      </rPr>
      <t xml:space="preserve"> 1</t>
    </r>
    <r>
      <rPr>
        <sz val="11"/>
        <color theme="1"/>
        <rFont val="돋움"/>
        <family val="3"/>
        <charset val="129"/>
      </rPr>
      <t>강</t>
    </r>
    <r>
      <rPr>
        <sz val="11"/>
        <color theme="1"/>
        <rFont val="Calibri"/>
        <family val="2"/>
      </rPr>
      <t>~4</t>
    </r>
    <r>
      <rPr>
        <sz val="11"/>
        <color theme="1"/>
        <rFont val="돋움"/>
        <family val="3"/>
        <charset val="129"/>
      </rPr>
      <t>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가능</t>
    </r>
    <r>
      <rPr>
        <sz val="11"/>
        <color theme="1"/>
        <rFont val="Calibri"/>
        <family val="2"/>
      </rPr>
      <t xml:space="preserve"> / </t>
    </r>
    <r>
      <rPr>
        <sz val="11"/>
        <color theme="1"/>
        <rFont val="돋움"/>
        <family val="3"/>
        <charset val="129"/>
      </rPr>
      <t>선수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자세히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보기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진입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가능</t>
    </r>
  </si>
  <si>
    <t>Negative,AcquiredTrait,EnhanceBelow5</t>
  </si>
  <si>
    <r>
      <t>5</t>
    </r>
    <r>
      <rPr>
        <sz val="11"/>
        <color theme="1"/>
        <rFont val="돋움"/>
        <family val="3"/>
        <charset val="129"/>
      </rPr>
      <t>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도달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획득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특성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비활성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검증</t>
    </r>
  </si>
  <si>
    <t>WB 주드 벨링엄 4강의 자세히 보기 화면에 진입한다.</t>
  </si>
  <si>
    <t>WB 주드 벨링엄 4강</t>
  </si>
  <si>
    <r>
      <t>5</t>
    </r>
    <r>
      <rPr>
        <sz val="11"/>
        <color theme="1"/>
        <rFont val="돋움"/>
        <family val="3"/>
        <charset val="129"/>
      </rPr>
      <t>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기준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획득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특성이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비활성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상태로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표시된다</t>
    </r>
    <r>
      <rPr>
        <sz val="11"/>
        <color theme="1"/>
        <rFont val="Calibri"/>
        <family val="2"/>
      </rPr>
      <t>.</t>
    </r>
  </si>
  <si>
    <r>
      <t>4</t>
    </r>
    <r>
      <rPr>
        <sz val="11"/>
        <color theme="1"/>
        <rFont val="돋움"/>
        <family val="3"/>
        <charset val="129"/>
      </rPr>
      <t>강에서</t>
    </r>
    <r>
      <rPr>
        <sz val="11"/>
        <color theme="1"/>
        <rFont val="Calibri"/>
        <family val="2"/>
      </rPr>
      <t xml:space="preserve"> 5</t>
    </r>
    <r>
      <rPr>
        <sz val="11"/>
        <color theme="1"/>
        <rFont val="돋움"/>
        <family val="3"/>
        <charset val="129"/>
      </rPr>
      <t>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경계값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획득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특성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</t>
    </r>
  </si>
  <si>
    <r>
      <t>강화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단계</t>
    </r>
    <r>
      <rPr>
        <sz val="11"/>
        <color theme="1"/>
        <rFont val="Calibri"/>
        <family val="2"/>
      </rPr>
      <t xml:space="preserve"> 4</t>
    </r>
    <r>
      <rPr>
        <sz val="11"/>
        <color theme="1"/>
        <rFont val="돋움"/>
        <family val="3"/>
        <charset val="129"/>
      </rPr>
      <t>강과</t>
    </r>
    <r>
      <rPr>
        <sz val="11"/>
        <color theme="1"/>
        <rFont val="Calibri"/>
        <family val="2"/>
      </rPr>
      <t xml:space="preserve"> 5</t>
    </r>
    <r>
      <rPr>
        <sz val="11"/>
        <color theme="1"/>
        <rFont val="돋움"/>
        <family val="3"/>
        <charset val="129"/>
      </rPr>
      <t>강의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획득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특성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상태를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비교하여</t>
    </r>
    <r>
      <rPr>
        <sz val="11"/>
        <color theme="1"/>
        <rFont val="Calibri"/>
        <family val="2"/>
      </rPr>
      <t xml:space="preserve"> 5</t>
    </r>
    <r>
      <rPr>
        <sz val="11"/>
        <color theme="1"/>
        <rFont val="돋움"/>
        <family val="3"/>
        <charset val="129"/>
      </rPr>
      <t>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도달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시점에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획득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특성이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활성화되는지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확인한다</t>
    </r>
    <r>
      <rPr>
        <sz val="11"/>
        <color theme="1"/>
        <rFont val="Calibri"/>
        <family val="2"/>
      </rPr>
      <t>.</t>
    </r>
  </si>
  <si>
    <r>
      <t>구단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관리</t>
    </r>
    <r>
      <rPr>
        <sz val="11"/>
        <color theme="1"/>
        <rFont val="Calibri"/>
        <family val="2"/>
      </rPr>
      <t xml:space="preserve"> &gt; </t>
    </r>
    <r>
      <rPr>
        <sz val="11"/>
        <color theme="1"/>
        <rFont val="돋움"/>
        <family val="3"/>
        <charset val="129"/>
      </rPr>
      <t>스쿼드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관리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화면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진입</t>
    </r>
    <r>
      <rPr>
        <sz val="11"/>
        <color theme="1"/>
        <rFont val="Calibri"/>
        <family val="2"/>
      </rPr>
      <t xml:space="preserve"> / WB </t>
    </r>
    <r>
      <rPr>
        <sz val="11"/>
        <color theme="1"/>
        <rFont val="돋움"/>
        <family val="3"/>
        <charset val="129"/>
      </rPr>
      <t>주드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벨링엄</t>
    </r>
    <r>
      <rPr>
        <sz val="11"/>
        <color theme="1"/>
        <rFont val="Calibri"/>
        <family val="2"/>
      </rPr>
      <t xml:space="preserve"> 4</t>
    </r>
    <r>
      <rPr>
        <sz val="11"/>
        <color theme="1"/>
        <rFont val="돋움"/>
        <family val="3"/>
        <charset val="129"/>
      </rPr>
      <t>강</t>
    </r>
    <r>
      <rPr>
        <sz val="11"/>
        <color theme="1"/>
        <rFont val="Calibri"/>
        <family val="2"/>
      </rPr>
      <t>, 5</t>
    </r>
    <r>
      <rPr>
        <sz val="11"/>
        <color theme="1"/>
        <rFont val="돋움"/>
        <family val="3"/>
        <charset val="129"/>
      </rPr>
      <t>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가능</t>
    </r>
    <r>
      <rPr>
        <sz val="11"/>
        <color theme="1"/>
        <rFont val="Calibri"/>
        <family val="2"/>
      </rPr>
      <t xml:space="preserve"> / </t>
    </r>
    <r>
      <rPr>
        <sz val="11"/>
        <color theme="1"/>
        <rFont val="돋움"/>
        <family val="3"/>
        <charset val="129"/>
      </rPr>
      <t>선수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자세히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보기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진입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가능</t>
    </r>
  </si>
  <si>
    <t>Edge,AcquiredTrait,Boundary,Enhance5</t>
  </si>
  <si>
    <r>
      <t>5</t>
    </r>
    <r>
      <rPr>
        <sz val="11"/>
        <color theme="1"/>
        <rFont val="돋움"/>
        <family val="3"/>
        <charset val="129"/>
      </rPr>
      <t>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활성화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경계값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검증</t>
    </r>
  </si>
  <si>
    <r>
      <t xml:space="preserve">WB </t>
    </r>
    <r>
      <rPr>
        <sz val="11"/>
        <color theme="1"/>
        <rFont val="돋움"/>
        <family val="3"/>
        <charset val="129"/>
      </rPr>
      <t>주드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벨링엄</t>
    </r>
    <r>
      <rPr>
        <sz val="11"/>
        <color theme="1"/>
        <rFont val="Calibri"/>
        <family val="2"/>
      </rPr>
      <t xml:space="preserve"> 4</t>
    </r>
    <r>
      <rPr>
        <sz val="11"/>
        <color theme="1"/>
        <rFont val="돋움"/>
        <family val="3"/>
        <charset val="129"/>
      </rPr>
      <t>강의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자세히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보기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화면에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진입한다</t>
    </r>
    <r>
      <rPr>
        <sz val="11"/>
        <color theme="1"/>
        <rFont val="Calibri"/>
        <family val="2"/>
      </rPr>
      <t>.</t>
    </r>
  </si>
  <si>
    <r>
      <t xml:space="preserve">WB </t>
    </r>
    <r>
      <rPr>
        <sz val="11"/>
        <color theme="1"/>
        <rFont val="돋움"/>
        <family val="3"/>
        <charset val="129"/>
      </rPr>
      <t>주드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벨링엄</t>
    </r>
    <r>
      <rPr>
        <sz val="11"/>
        <color theme="1"/>
        <rFont val="Calibri"/>
        <family val="2"/>
      </rPr>
      <t xml:space="preserve"> 4</t>
    </r>
    <r>
      <rPr>
        <sz val="11"/>
        <color theme="1"/>
        <rFont val="돋움"/>
        <family val="3"/>
        <charset val="129"/>
      </rPr>
      <t>강</t>
    </r>
  </si>
  <si>
    <t>WB 주드 벨링엄 4강의 획득 특성 상태를 확인한다.</t>
  </si>
  <si>
    <r>
      <t xml:space="preserve">WB </t>
    </r>
    <r>
      <rPr>
        <sz val="11"/>
        <color theme="1"/>
        <rFont val="돋움"/>
        <family val="3"/>
        <charset val="129"/>
      </rPr>
      <t>주드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벨링엄</t>
    </r>
    <r>
      <rPr>
        <sz val="11"/>
        <color theme="1"/>
        <rFont val="Calibri"/>
        <family val="2"/>
      </rPr>
      <t xml:space="preserve"> 5</t>
    </r>
    <r>
      <rPr>
        <sz val="11"/>
        <color theme="1"/>
        <rFont val="돋움"/>
        <family val="3"/>
        <charset val="129"/>
      </rPr>
      <t>강의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획득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특성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상태를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확인한다</t>
    </r>
    <r>
      <rPr>
        <sz val="11"/>
        <color theme="1"/>
        <rFont val="Calibri"/>
        <family val="2"/>
      </rPr>
      <t>.</t>
    </r>
  </si>
  <si>
    <r>
      <t>5</t>
    </r>
    <r>
      <rPr>
        <sz val="11"/>
        <color theme="1"/>
        <rFont val="돋움"/>
        <family val="3"/>
        <charset val="129"/>
      </rPr>
      <t>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기준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획득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특성이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활성화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상태로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표시된다</t>
    </r>
    <r>
      <rPr>
        <sz val="11"/>
        <color theme="1"/>
        <rFont val="Calibri"/>
        <family val="2"/>
      </rPr>
      <t>.</t>
    </r>
  </si>
  <si>
    <r>
      <t>7</t>
    </r>
    <r>
      <rPr>
        <sz val="11"/>
        <color theme="1"/>
        <rFont val="돋움"/>
        <family val="3"/>
        <charset val="129"/>
      </rPr>
      <t>강에서</t>
    </r>
    <r>
      <rPr>
        <sz val="11"/>
        <color theme="1"/>
        <rFont val="Calibri"/>
        <family val="2"/>
      </rPr>
      <t xml:space="preserve"> 8</t>
    </r>
    <r>
      <rPr>
        <sz val="11"/>
        <color theme="1"/>
        <rFont val="돋움"/>
        <family val="3"/>
        <charset val="129"/>
      </rPr>
      <t>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경계값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획득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특성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</t>
    </r>
  </si>
  <si>
    <r>
      <t>강화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단계</t>
    </r>
    <r>
      <rPr>
        <sz val="11"/>
        <color theme="1"/>
        <rFont val="Calibri"/>
        <family val="2"/>
      </rPr>
      <t xml:space="preserve"> 7</t>
    </r>
    <r>
      <rPr>
        <sz val="11"/>
        <color theme="1"/>
        <rFont val="돋움"/>
        <family val="3"/>
        <charset val="129"/>
      </rPr>
      <t>강과</t>
    </r>
    <r>
      <rPr>
        <sz val="11"/>
        <color theme="1"/>
        <rFont val="Calibri"/>
        <family val="2"/>
      </rPr>
      <t xml:space="preserve"> 8</t>
    </r>
    <r>
      <rPr>
        <sz val="11"/>
        <color theme="1"/>
        <rFont val="돋움"/>
        <family val="3"/>
        <charset val="129"/>
      </rPr>
      <t>강의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획득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특성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상태를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비교하여</t>
    </r>
    <r>
      <rPr>
        <sz val="11"/>
        <color theme="1"/>
        <rFont val="Calibri"/>
        <family val="2"/>
      </rPr>
      <t xml:space="preserve"> 8</t>
    </r>
    <r>
      <rPr>
        <sz val="11"/>
        <color theme="1"/>
        <rFont val="돋움"/>
        <family val="3"/>
        <charset val="129"/>
      </rPr>
      <t>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도달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시점에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획득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특성이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활성화되는지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확인한다</t>
    </r>
    <r>
      <rPr>
        <sz val="11"/>
        <color theme="1"/>
        <rFont val="Calibri"/>
        <family val="2"/>
      </rPr>
      <t>.</t>
    </r>
  </si>
  <si>
    <r>
      <t>구단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관리</t>
    </r>
    <r>
      <rPr>
        <sz val="11"/>
        <color theme="1"/>
        <rFont val="Calibri"/>
        <family val="2"/>
      </rPr>
      <t xml:space="preserve"> &gt; </t>
    </r>
    <r>
      <rPr>
        <sz val="11"/>
        <color theme="1"/>
        <rFont val="돋움"/>
        <family val="3"/>
        <charset val="129"/>
      </rPr>
      <t>스쿼드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관리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화면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진입</t>
    </r>
    <r>
      <rPr>
        <sz val="11"/>
        <color theme="1"/>
        <rFont val="Calibri"/>
        <family val="2"/>
      </rPr>
      <t xml:space="preserve"> / WB </t>
    </r>
    <r>
      <rPr>
        <sz val="11"/>
        <color theme="1"/>
        <rFont val="돋움"/>
        <family val="3"/>
        <charset val="129"/>
      </rPr>
      <t>주드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벨링엄</t>
    </r>
    <r>
      <rPr>
        <sz val="11"/>
        <color theme="1"/>
        <rFont val="Calibri"/>
        <family val="2"/>
      </rPr>
      <t xml:space="preserve"> 7</t>
    </r>
    <r>
      <rPr>
        <sz val="11"/>
        <color theme="1"/>
        <rFont val="돋움"/>
        <family val="3"/>
        <charset val="129"/>
      </rPr>
      <t>강</t>
    </r>
    <r>
      <rPr>
        <sz val="11"/>
        <color theme="1"/>
        <rFont val="Calibri"/>
        <family val="2"/>
      </rPr>
      <t>, 8</t>
    </r>
    <r>
      <rPr>
        <sz val="11"/>
        <color theme="1"/>
        <rFont val="돋움"/>
        <family val="3"/>
        <charset val="129"/>
      </rPr>
      <t>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가능</t>
    </r>
    <r>
      <rPr>
        <sz val="11"/>
        <color theme="1"/>
        <rFont val="Calibri"/>
        <family val="2"/>
      </rPr>
      <t xml:space="preserve"> / </t>
    </r>
    <r>
      <rPr>
        <sz val="11"/>
        <color theme="1"/>
        <rFont val="돋움"/>
        <family val="3"/>
        <charset val="129"/>
      </rPr>
      <t>선수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자세히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보기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진입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가능</t>
    </r>
  </si>
  <si>
    <t>Edge,AcquiredTrait,Boundary,Enhance8</t>
  </si>
  <si>
    <r>
      <t>8</t>
    </r>
    <r>
      <rPr>
        <sz val="11"/>
        <color theme="1"/>
        <rFont val="돋움"/>
        <family val="3"/>
        <charset val="129"/>
      </rPr>
      <t>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활성화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경계값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검증</t>
    </r>
  </si>
  <si>
    <r>
      <t xml:space="preserve">WB </t>
    </r>
    <r>
      <rPr>
        <sz val="11"/>
        <color theme="1"/>
        <rFont val="돋움"/>
        <family val="3"/>
        <charset val="129"/>
      </rPr>
      <t>주드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벨링엄</t>
    </r>
    <r>
      <rPr>
        <sz val="11"/>
        <color theme="1"/>
        <rFont val="Calibri"/>
        <family val="2"/>
      </rPr>
      <t xml:space="preserve"> 7</t>
    </r>
    <r>
      <rPr>
        <sz val="11"/>
        <color theme="1"/>
        <rFont val="돋움"/>
        <family val="3"/>
        <charset val="129"/>
      </rPr>
      <t>강의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자세히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보기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화면에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진입한다</t>
    </r>
    <r>
      <rPr>
        <sz val="11"/>
        <color theme="1"/>
        <rFont val="Calibri"/>
        <family val="2"/>
      </rPr>
      <t>.</t>
    </r>
  </si>
  <si>
    <r>
      <t xml:space="preserve">WB </t>
    </r>
    <r>
      <rPr>
        <sz val="11"/>
        <color theme="1"/>
        <rFont val="돋움"/>
        <family val="3"/>
        <charset val="129"/>
      </rPr>
      <t>주드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벨링엄</t>
    </r>
    <r>
      <rPr>
        <sz val="11"/>
        <color theme="1"/>
        <rFont val="Calibri"/>
        <family val="2"/>
      </rPr>
      <t xml:space="preserve"> 7</t>
    </r>
    <r>
      <rPr>
        <sz val="11"/>
        <color theme="1"/>
        <rFont val="돋움"/>
        <family val="3"/>
        <charset val="129"/>
      </rPr>
      <t>강</t>
    </r>
  </si>
  <si>
    <r>
      <t xml:space="preserve">WB </t>
    </r>
    <r>
      <rPr>
        <sz val="11"/>
        <color theme="1"/>
        <rFont val="돋움"/>
        <family val="3"/>
        <charset val="129"/>
      </rPr>
      <t>주드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벨링엄</t>
    </r>
    <r>
      <rPr>
        <sz val="11"/>
        <color theme="1"/>
        <rFont val="Calibri"/>
        <family val="2"/>
      </rPr>
      <t xml:space="preserve"> 7</t>
    </r>
    <r>
      <rPr>
        <sz val="11"/>
        <color theme="1"/>
        <rFont val="돋움"/>
        <family val="3"/>
        <charset val="129"/>
      </rPr>
      <t>강의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획득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특성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상태를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확인한다</t>
    </r>
    <r>
      <rPr>
        <sz val="11"/>
        <color theme="1"/>
        <rFont val="Calibri"/>
        <family val="2"/>
      </rPr>
      <t>.</t>
    </r>
  </si>
  <si>
    <r>
      <t>8</t>
    </r>
    <r>
      <rPr>
        <sz val="11"/>
        <color theme="1"/>
        <rFont val="돋움"/>
        <family val="3"/>
        <charset val="129"/>
      </rPr>
      <t>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기준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획득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특성이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비활성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상태로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표시된다</t>
    </r>
    <r>
      <rPr>
        <sz val="11"/>
        <color theme="1"/>
        <rFont val="Calibri"/>
        <family val="2"/>
      </rPr>
      <t>.</t>
    </r>
  </si>
  <si>
    <r>
      <t xml:space="preserve">WB </t>
    </r>
    <r>
      <rPr>
        <sz val="11"/>
        <color theme="1"/>
        <rFont val="돋움"/>
        <family val="3"/>
        <charset val="129"/>
      </rPr>
      <t>주드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벨링엄</t>
    </r>
    <r>
      <rPr>
        <sz val="11"/>
        <color theme="1"/>
        <rFont val="Calibri"/>
        <family val="2"/>
      </rPr>
      <t xml:space="preserve"> 8</t>
    </r>
    <r>
      <rPr>
        <sz val="11"/>
        <color theme="1"/>
        <rFont val="돋움"/>
        <family val="3"/>
        <charset val="129"/>
      </rPr>
      <t>강의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자세히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보기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화면에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진입한다</t>
    </r>
    <r>
      <rPr>
        <sz val="11"/>
        <color theme="1"/>
        <rFont val="Calibri"/>
        <family val="2"/>
      </rPr>
      <t>.</t>
    </r>
  </si>
  <si>
    <r>
      <t xml:space="preserve">WB </t>
    </r>
    <r>
      <rPr>
        <sz val="11"/>
        <color theme="1"/>
        <rFont val="돋움"/>
        <family val="3"/>
        <charset val="129"/>
      </rPr>
      <t>주드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벨링엄</t>
    </r>
    <r>
      <rPr>
        <sz val="11"/>
        <color theme="1"/>
        <rFont val="Calibri"/>
        <family val="2"/>
      </rPr>
      <t xml:space="preserve"> 8</t>
    </r>
    <r>
      <rPr>
        <sz val="11"/>
        <color theme="1"/>
        <rFont val="돋움"/>
        <family val="3"/>
        <charset val="129"/>
      </rPr>
      <t>강의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획득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특성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상태를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확인한다</t>
    </r>
    <r>
      <rPr>
        <sz val="11"/>
        <color theme="1"/>
        <rFont val="Calibri"/>
        <family val="2"/>
      </rPr>
      <t>.</t>
    </r>
  </si>
  <si>
    <r>
      <t>10</t>
    </r>
    <r>
      <rPr>
        <sz val="11"/>
        <color theme="1"/>
        <rFont val="돋움"/>
        <family val="3"/>
        <charset val="129"/>
      </rPr>
      <t>강에서</t>
    </r>
    <r>
      <rPr>
        <sz val="11"/>
        <color theme="1"/>
        <rFont val="Calibri"/>
        <family val="2"/>
      </rPr>
      <t xml:space="preserve"> 11</t>
    </r>
    <r>
      <rPr>
        <sz val="11"/>
        <color theme="1"/>
        <rFont val="돋움"/>
        <family val="3"/>
        <charset val="129"/>
      </rPr>
      <t>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경계값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획득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특성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</t>
    </r>
  </si>
  <si>
    <r>
      <t>강화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단계</t>
    </r>
    <r>
      <rPr>
        <sz val="11"/>
        <color theme="1"/>
        <rFont val="Calibri"/>
        <family val="2"/>
      </rPr>
      <t xml:space="preserve"> 10</t>
    </r>
    <r>
      <rPr>
        <sz val="11"/>
        <color theme="1"/>
        <rFont val="돋움"/>
        <family val="3"/>
        <charset val="129"/>
      </rPr>
      <t>강과</t>
    </r>
    <r>
      <rPr>
        <sz val="11"/>
        <color theme="1"/>
        <rFont val="Calibri"/>
        <family val="2"/>
      </rPr>
      <t xml:space="preserve"> 11</t>
    </r>
    <r>
      <rPr>
        <sz val="11"/>
        <color theme="1"/>
        <rFont val="돋움"/>
        <family val="3"/>
        <charset val="129"/>
      </rPr>
      <t>강의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획득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특성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상태를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비교하여</t>
    </r>
    <r>
      <rPr>
        <sz val="11"/>
        <color theme="1"/>
        <rFont val="Calibri"/>
        <family val="2"/>
      </rPr>
      <t xml:space="preserve"> 11</t>
    </r>
    <r>
      <rPr>
        <sz val="11"/>
        <color theme="1"/>
        <rFont val="돋움"/>
        <family val="3"/>
        <charset val="129"/>
      </rPr>
      <t>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도달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시점에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획득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특성이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활성화되는지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확인한다</t>
    </r>
    <r>
      <rPr>
        <sz val="11"/>
        <color theme="1"/>
        <rFont val="Calibri"/>
        <family val="2"/>
      </rPr>
      <t>.</t>
    </r>
  </si>
  <si>
    <r>
      <t>구단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관리</t>
    </r>
    <r>
      <rPr>
        <sz val="11"/>
        <color theme="1"/>
        <rFont val="Calibri"/>
        <family val="2"/>
      </rPr>
      <t xml:space="preserve"> &gt; </t>
    </r>
    <r>
      <rPr>
        <sz val="11"/>
        <color theme="1"/>
        <rFont val="돋움"/>
        <family val="3"/>
        <charset val="129"/>
      </rPr>
      <t>스쿼드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관리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화면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진입</t>
    </r>
    <r>
      <rPr>
        <sz val="11"/>
        <color theme="1"/>
        <rFont val="Calibri"/>
        <family val="2"/>
      </rPr>
      <t xml:space="preserve"> / WB </t>
    </r>
    <r>
      <rPr>
        <sz val="11"/>
        <color theme="1"/>
        <rFont val="돋움"/>
        <family val="3"/>
        <charset val="129"/>
      </rPr>
      <t>주드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벨링엄</t>
    </r>
    <r>
      <rPr>
        <sz val="11"/>
        <color theme="1"/>
        <rFont val="Calibri"/>
        <family val="2"/>
      </rPr>
      <t xml:space="preserve"> 10</t>
    </r>
    <r>
      <rPr>
        <sz val="11"/>
        <color theme="1"/>
        <rFont val="돋움"/>
        <family val="3"/>
        <charset val="129"/>
      </rPr>
      <t>강</t>
    </r>
    <r>
      <rPr>
        <sz val="11"/>
        <color theme="1"/>
        <rFont val="Calibri"/>
        <family val="2"/>
      </rPr>
      <t>, 11</t>
    </r>
    <r>
      <rPr>
        <sz val="11"/>
        <color theme="1"/>
        <rFont val="돋움"/>
        <family val="3"/>
        <charset val="129"/>
      </rPr>
      <t>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가능</t>
    </r>
    <r>
      <rPr>
        <sz val="11"/>
        <color theme="1"/>
        <rFont val="Calibri"/>
        <family val="2"/>
      </rPr>
      <t xml:space="preserve"> / </t>
    </r>
    <r>
      <rPr>
        <sz val="11"/>
        <color theme="1"/>
        <rFont val="돋움"/>
        <family val="3"/>
        <charset val="129"/>
      </rPr>
      <t>선수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자세히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보기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진입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가능</t>
    </r>
  </si>
  <si>
    <t>Edge,AcquiredTrait,Boundary,Enhance11</t>
  </si>
  <si>
    <r>
      <t>11</t>
    </r>
    <r>
      <rPr>
        <sz val="11"/>
        <color theme="1"/>
        <rFont val="돋움"/>
        <family val="3"/>
        <charset val="129"/>
      </rPr>
      <t>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활성화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경계값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검증</t>
    </r>
  </si>
  <si>
    <r>
      <t xml:space="preserve">WB </t>
    </r>
    <r>
      <rPr>
        <sz val="11"/>
        <color theme="1"/>
        <rFont val="돋움"/>
        <family val="3"/>
        <charset val="129"/>
      </rPr>
      <t>주드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벨링엄</t>
    </r>
    <r>
      <rPr>
        <sz val="11"/>
        <color theme="1"/>
        <rFont val="Calibri"/>
        <family val="2"/>
      </rPr>
      <t xml:space="preserve"> 10</t>
    </r>
    <r>
      <rPr>
        <sz val="11"/>
        <color theme="1"/>
        <rFont val="돋움"/>
        <family val="3"/>
        <charset val="129"/>
      </rPr>
      <t>강의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자세히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보기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화면에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진입한다</t>
    </r>
    <r>
      <rPr>
        <sz val="11"/>
        <color theme="1"/>
        <rFont val="Calibri"/>
        <family val="2"/>
      </rPr>
      <t>.</t>
    </r>
  </si>
  <si>
    <r>
      <t xml:space="preserve">WB </t>
    </r>
    <r>
      <rPr>
        <sz val="11"/>
        <color theme="1"/>
        <rFont val="돋움"/>
        <family val="3"/>
        <charset val="129"/>
      </rPr>
      <t>주드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벨링엄</t>
    </r>
    <r>
      <rPr>
        <sz val="11"/>
        <color theme="1"/>
        <rFont val="Calibri"/>
        <family val="2"/>
      </rPr>
      <t xml:space="preserve"> 10</t>
    </r>
    <r>
      <rPr>
        <sz val="11"/>
        <color theme="1"/>
        <rFont val="돋움"/>
        <family val="3"/>
        <charset val="129"/>
      </rPr>
      <t>강</t>
    </r>
  </si>
  <si>
    <r>
      <t xml:space="preserve">WB </t>
    </r>
    <r>
      <rPr>
        <sz val="11"/>
        <color theme="1"/>
        <rFont val="돋움"/>
        <family val="3"/>
        <charset val="129"/>
      </rPr>
      <t>주드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벨링엄</t>
    </r>
    <r>
      <rPr>
        <sz val="11"/>
        <color theme="1"/>
        <rFont val="Calibri"/>
        <family val="2"/>
      </rPr>
      <t xml:space="preserve"> 10</t>
    </r>
    <r>
      <rPr>
        <sz val="11"/>
        <color theme="1"/>
        <rFont val="돋움"/>
        <family val="3"/>
        <charset val="129"/>
      </rPr>
      <t>강의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획득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특성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상태를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확인한다</t>
    </r>
    <r>
      <rPr>
        <sz val="11"/>
        <color theme="1"/>
        <rFont val="Calibri"/>
        <family val="2"/>
      </rPr>
      <t>.</t>
    </r>
  </si>
  <si>
    <r>
      <t>11</t>
    </r>
    <r>
      <rPr>
        <sz val="11"/>
        <color theme="1"/>
        <rFont val="돋움"/>
        <family val="3"/>
        <charset val="129"/>
      </rPr>
      <t>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기준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획득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특성이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비활성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상태로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표시된다</t>
    </r>
    <r>
      <rPr>
        <sz val="11"/>
        <color theme="1"/>
        <rFont val="Calibri"/>
        <family val="2"/>
      </rPr>
      <t>.</t>
    </r>
  </si>
  <si>
    <r>
      <t xml:space="preserve">WB </t>
    </r>
    <r>
      <rPr>
        <sz val="11"/>
        <color theme="1"/>
        <rFont val="돋움"/>
        <family val="3"/>
        <charset val="129"/>
      </rPr>
      <t>주드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벨링엄</t>
    </r>
    <r>
      <rPr>
        <sz val="11"/>
        <color theme="1"/>
        <rFont val="Calibri"/>
        <family val="2"/>
      </rPr>
      <t xml:space="preserve"> 11</t>
    </r>
    <r>
      <rPr>
        <sz val="11"/>
        <color theme="1"/>
        <rFont val="돋움"/>
        <family val="3"/>
        <charset val="129"/>
      </rPr>
      <t>강의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획득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특성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상태를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확인한다</t>
    </r>
    <r>
      <rPr>
        <sz val="11"/>
        <color theme="1"/>
        <rFont val="Calibri"/>
        <family val="2"/>
      </rPr>
      <t>.</t>
    </r>
  </si>
  <si>
    <r>
      <t>구단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관리</t>
    </r>
    <r>
      <rPr>
        <sz val="11"/>
        <color theme="1"/>
        <rFont val="Calibri"/>
        <family val="2"/>
      </rPr>
      <t xml:space="preserve"> &gt; </t>
    </r>
    <r>
      <rPr>
        <sz val="11"/>
        <color theme="1"/>
        <rFont val="돋움"/>
        <family val="3"/>
        <charset val="129"/>
      </rPr>
      <t>스쿼드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관리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화면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진입</t>
    </r>
    <r>
      <rPr>
        <sz val="11"/>
        <color theme="1"/>
        <rFont val="Calibri"/>
        <family val="2"/>
      </rPr>
      <t xml:space="preserve"> / WB </t>
    </r>
    <r>
      <rPr>
        <sz val="11"/>
        <color theme="1"/>
        <rFont val="돋움"/>
        <family val="3"/>
        <charset val="129"/>
      </rPr>
      <t>주드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벨링엄</t>
    </r>
    <r>
      <rPr>
        <sz val="11"/>
        <color theme="1"/>
        <rFont val="Calibri"/>
        <family val="2"/>
      </rPr>
      <t xml:space="preserve"> 11</t>
    </r>
    <r>
      <rPr>
        <sz val="11"/>
        <color theme="1"/>
        <rFont val="돋움"/>
        <family val="3"/>
        <charset val="129"/>
      </rPr>
      <t>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보유</t>
    </r>
    <r>
      <rPr>
        <sz val="11"/>
        <color theme="1"/>
        <rFont val="Calibri"/>
        <family val="2"/>
      </rPr>
      <t xml:space="preserve"> / </t>
    </r>
    <r>
      <rPr>
        <sz val="11"/>
        <color theme="1"/>
        <rFont val="돋움"/>
        <family val="3"/>
        <charset val="129"/>
      </rPr>
      <t>선수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자세히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보기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진입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가능</t>
    </r>
    <phoneticPr fontId="6" type="noConversion"/>
  </si>
  <si>
    <r>
      <t>구단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관리</t>
    </r>
    <r>
      <rPr>
        <sz val="11"/>
        <color theme="1"/>
        <rFont val="Calibri"/>
        <family val="2"/>
      </rPr>
      <t xml:space="preserve"> &gt; </t>
    </r>
    <r>
      <rPr>
        <sz val="11"/>
        <color theme="1"/>
        <rFont val="돋움"/>
        <family val="3"/>
        <charset val="129"/>
      </rPr>
      <t>스쿼드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관리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화면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진입</t>
    </r>
    <r>
      <rPr>
        <sz val="11"/>
        <color theme="1"/>
        <rFont val="Calibri"/>
        <family val="2"/>
      </rPr>
      <t xml:space="preserve"> / WB </t>
    </r>
    <r>
      <rPr>
        <sz val="11"/>
        <color theme="1"/>
        <rFont val="돋움"/>
        <family val="3"/>
        <charset val="129"/>
      </rPr>
      <t>주드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벨링엄</t>
    </r>
    <r>
      <rPr>
        <sz val="11"/>
        <color theme="1"/>
        <rFont val="Calibri"/>
        <family val="2"/>
      </rPr>
      <t xml:space="preserve"> 5</t>
    </r>
    <r>
      <rPr>
        <sz val="11"/>
        <color theme="1"/>
        <rFont val="돋움"/>
        <family val="3"/>
        <charset val="129"/>
      </rPr>
      <t>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보유</t>
    </r>
    <r>
      <rPr>
        <sz val="11"/>
        <color theme="1"/>
        <rFont val="Calibri"/>
        <family val="2"/>
      </rPr>
      <t xml:space="preserve"> / </t>
    </r>
    <r>
      <rPr>
        <sz val="11"/>
        <color theme="1"/>
        <rFont val="돋움"/>
        <family val="3"/>
        <charset val="129"/>
      </rPr>
      <t>선수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자세히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보기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진입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가능</t>
    </r>
    <phoneticPr fontId="6" type="noConversion"/>
  </si>
  <si>
    <t>FCO</t>
    <phoneticPr fontId="6" type="noConversion"/>
  </si>
  <si>
    <t>Save,State,Swap</t>
    <phoneticPr fontId="6" type="noConversion"/>
  </si>
  <si>
    <t>note</t>
    <phoneticPr fontId="6" type="noConversion"/>
  </si>
  <si>
    <r>
      <t>FC</t>
    </r>
    <r>
      <rPr>
        <b/>
        <sz val="20"/>
        <color theme="1"/>
        <rFont val="맑은 고딕"/>
        <family val="3"/>
        <charset val="129"/>
      </rPr>
      <t>온라인</t>
    </r>
    <r>
      <rPr>
        <b/>
        <sz val="20"/>
        <color theme="1"/>
        <rFont val="Calibri"/>
        <family val="2"/>
      </rPr>
      <t xml:space="preserve"> </t>
    </r>
    <r>
      <rPr>
        <b/>
        <sz val="20"/>
        <color theme="1"/>
        <rFont val="맑은 고딕"/>
        <family val="3"/>
        <charset val="129"/>
      </rPr>
      <t>스쿼드</t>
    </r>
    <r>
      <rPr>
        <b/>
        <sz val="20"/>
        <color theme="1"/>
        <rFont val="Calibri"/>
        <family val="2"/>
      </rPr>
      <t xml:space="preserve"> </t>
    </r>
    <r>
      <rPr>
        <b/>
        <sz val="20"/>
        <color theme="1"/>
        <rFont val="맑은 고딕"/>
        <family val="3"/>
        <charset val="129"/>
      </rPr>
      <t>관리</t>
    </r>
    <r>
      <rPr>
        <b/>
        <sz val="20"/>
        <color theme="1"/>
        <rFont val="Calibri"/>
        <family val="2"/>
      </rPr>
      <t xml:space="preserve"> Overview</t>
    </r>
    <phoneticPr fontId="6" type="noConversion"/>
  </si>
  <si>
    <t>FCO-SQD-002</t>
    <phoneticPr fontId="6" type="noConversion"/>
  </si>
  <si>
    <t>FCO-SQD-003</t>
    <phoneticPr fontId="6" type="noConversion"/>
  </si>
  <si>
    <t>FCO-SQD-004</t>
    <phoneticPr fontId="6" type="noConversion"/>
  </si>
  <si>
    <t>FCO-SQD-005</t>
    <phoneticPr fontId="6" type="noConversion"/>
  </si>
  <si>
    <t>FCO-SQD-006</t>
    <phoneticPr fontId="6" type="noConversion"/>
  </si>
  <si>
    <t>FCO-SQD-007</t>
    <phoneticPr fontId="6" type="noConversion"/>
  </si>
  <si>
    <t>FCO-SQD-008</t>
    <phoneticPr fontId="6" type="noConversion"/>
  </si>
  <si>
    <t>FCO-SQD-009</t>
    <phoneticPr fontId="6" type="noConversion"/>
  </si>
  <si>
    <t>FCO-SQD-010</t>
    <phoneticPr fontId="6" type="noConversion"/>
  </si>
  <si>
    <t>FCO-SQD-011</t>
    <phoneticPr fontId="6" type="noConversion"/>
  </si>
  <si>
    <t>FCO-SQD-012</t>
    <phoneticPr fontId="6" type="noConversion"/>
  </si>
  <si>
    <t>FCO-SQD-013</t>
    <phoneticPr fontId="6" type="noConversion"/>
  </si>
  <si>
    <t>FCO-SQD-014</t>
    <phoneticPr fontId="6" type="noConversion"/>
  </si>
  <si>
    <t>FCO-SQD-015</t>
    <phoneticPr fontId="6" type="noConversion"/>
  </si>
  <si>
    <t>FCO-SQD-016</t>
    <phoneticPr fontId="6" type="noConversion"/>
  </si>
  <si>
    <t>FCO-SQD-017</t>
    <phoneticPr fontId="6" type="noConversion"/>
  </si>
  <si>
    <t>FCO-SQD-018</t>
    <phoneticPr fontId="6" type="noConversion"/>
  </si>
  <si>
    <t>FCO-SQD-019</t>
    <phoneticPr fontId="6" type="noConversion"/>
  </si>
  <si>
    <t>FCO-SQD-020</t>
    <phoneticPr fontId="6" type="noConversion"/>
  </si>
  <si>
    <t>FCO-SQD-021</t>
    <phoneticPr fontId="6" type="noConversion"/>
  </si>
  <si>
    <t>FCO-SQD-022</t>
    <phoneticPr fontId="6" type="noConversion"/>
  </si>
  <si>
    <t>FCO-SQD-023</t>
    <phoneticPr fontId="6" type="noConversion"/>
  </si>
  <si>
    <t>FCO-SQD-024</t>
    <phoneticPr fontId="6" type="noConversion"/>
  </si>
  <si>
    <t>FCO-SQD-025</t>
    <phoneticPr fontId="6" type="noConversion"/>
  </si>
  <si>
    <t>FCO-SQD-026</t>
    <phoneticPr fontId="6" type="noConversion"/>
  </si>
  <si>
    <t>FCO-SQD-027</t>
    <phoneticPr fontId="6" type="noConversion"/>
  </si>
  <si>
    <t>FCO-SQD-028</t>
    <phoneticPr fontId="6" type="noConversion"/>
  </si>
  <si>
    <t>FCO-SQD-029</t>
    <phoneticPr fontId="6" type="noConversion"/>
  </si>
  <si>
    <t>FCO-SQD-030</t>
    <phoneticPr fontId="6" type="noConversion"/>
  </si>
  <si>
    <t>FCO-SQD-031</t>
    <phoneticPr fontId="6" type="noConversion"/>
  </si>
  <si>
    <t>FCO-SQD-032</t>
    <phoneticPr fontId="6" type="noConversion"/>
  </si>
  <si>
    <t>FCO-SQD-033</t>
    <phoneticPr fontId="6" type="noConversion"/>
  </si>
  <si>
    <t>FCO-SQD-034</t>
    <phoneticPr fontId="6" type="noConversion"/>
  </si>
  <si>
    <t>FCO-SQD-035</t>
    <phoneticPr fontId="6" type="noConversion"/>
  </si>
  <si>
    <t>FCO-SQD-036</t>
    <phoneticPr fontId="6" type="noConversion"/>
  </si>
  <si>
    <t>FCO-SQD-037</t>
    <phoneticPr fontId="6" type="noConversion"/>
  </si>
  <si>
    <t>BLOCK</t>
  </si>
  <si>
    <t>High</t>
    <phoneticPr fontId="6" type="noConversion"/>
  </si>
  <si>
    <t>해당 강화등급의 선수를 보유하지 않아 테스트 불가능</t>
    <phoneticPr fontId="6" type="noConversion"/>
  </si>
  <si>
    <t>Total TC</t>
    <phoneticPr fontId="6" type="noConversion"/>
  </si>
  <si>
    <t>Total Step</t>
    <phoneticPr fontId="6" type="noConversion"/>
  </si>
  <si>
    <t>PASS</t>
    <phoneticPr fontId="6" type="noConversion"/>
  </si>
  <si>
    <t>FAIL</t>
    <phoneticPr fontId="6" type="noConversion"/>
  </si>
  <si>
    <t>BLOCK</t>
    <phoneticPr fontId="6" type="noConversion"/>
  </si>
  <si>
    <t>PASS Rate</t>
    <phoneticPr fontId="6" type="noConversion"/>
  </si>
  <si>
    <t>BLOCK Rate</t>
  </si>
  <si>
    <t>Total</t>
  </si>
  <si>
    <t>TC Count</t>
  </si>
  <si>
    <t>비율</t>
  </si>
  <si>
    <t>Low</t>
  </si>
  <si>
    <r>
      <rPr>
        <b/>
        <sz val="20"/>
        <color theme="1"/>
        <rFont val="맑은 고딕"/>
        <family val="3"/>
        <charset val="129"/>
      </rPr>
      <t>FC온라인</t>
    </r>
    <r>
      <rPr>
        <b/>
        <sz val="20"/>
        <color theme="1"/>
        <rFont val="Calibri"/>
        <family val="3"/>
      </rPr>
      <t xml:space="preserve"> </t>
    </r>
    <r>
      <rPr>
        <b/>
        <sz val="20"/>
        <color theme="1"/>
        <rFont val="맑은 고딕"/>
        <family val="3"/>
        <charset val="129"/>
      </rPr>
      <t>스쿼드</t>
    </r>
    <r>
      <rPr>
        <b/>
        <sz val="20"/>
        <color theme="1"/>
        <rFont val="Calibri"/>
        <family val="3"/>
      </rPr>
      <t xml:space="preserve"> </t>
    </r>
    <r>
      <rPr>
        <b/>
        <sz val="20"/>
        <color theme="1"/>
        <rFont val="맑은 고딕"/>
        <family val="3"/>
        <charset val="129"/>
      </rPr>
      <t xml:space="preserve">관리 </t>
    </r>
    <r>
      <rPr>
        <b/>
        <sz val="20"/>
        <color theme="1"/>
        <rFont val="Calibri"/>
        <family val="3"/>
      </rPr>
      <t>Dashboard</t>
    </r>
    <phoneticPr fontId="6" type="noConversion"/>
  </si>
  <si>
    <r>
      <rPr>
        <sz val="11"/>
        <color theme="0"/>
        <rFont val="Calibri"/>
        <family val="2"/>
      </rPr>
      <t>FC</t>
    </r>
    <r>
      <rPr>
        <sz val="11"/>
        <color theme="0"/>
        <rFont val="맑은 고딕"/>
        <family val="3"/>
        <charset val="129"/>
      </rPr>
      <t>온라인_Cases 시트 기준 테스크 결과 및 리스크 분포 집계</t>
    </r>
    <phoneticPr fontId="6" type="noConversion"/>
  </si>
  <si>
    <t>테스트 데이터 미보유</t>
    <phoneticPr fontId="6" type="noConversion"/>
  </si>
  <si>
    <t>Count</t>
    <phoneticPr fontId="6" type="noConversion"/>
  </si>
  <si>
    <t>Detail</t>
    <phoneticPr fontId="6" type="noConversion"/>
  </si>
  <si>
    <r>
      <t xml:space="preserve">Block </t>
    </r>
    <r>
      <rPr>
        <sz val="11"/>
        <color theme="1"/>
        <rFont val="맑은 고딕"/>
        <family val="2"/>
        <charset val="129"/>
      </rPr>
      <t>사유</t>
    </r>
    <phoneticPr fontId="6" type="noConversion"/>
  </si>
  <si>
    <t>요구 강화 수치의 선수 카드 미보유로 실행 보류</t>
    <phoneticPr fontId="6" type="noConversion"/>
  </si>
  <si>
    <t>No</t>
  </si>
  <si>
    <t>Rate</t>
  </si>
  <si>
    <t>UI 예외</t>
  </si>
  <si>
    <t>획득 특성</t>
  </si>
  <si>
    <t>Step Count</t>
    <phoneticPr fontId="6" type="noConversion"/>
  </si>
  <si>
    <r>
      <t>Component</t>
    </r>
    <r>
      <rPr>
        <sz val="11"/>
        <color theme="0"/>
        <rFont val="맑은 고딕"/>
        <family val="2"/>
        <charset val="129"/>
      </rPr>
      <t xml:space="preserve">별 </t>
    </r>
    <r>
      <rPr>
        <sz val="11"/>
        <color theme="0"/>
        <rFont val="Calibri"/>
        <family val="2"/>
      </rPr>
      <t>TC</t>
    </r>
    <r>
      <rPr>
        <sz val="11"/>
        <color theme="0"/>
        <rFont val="맑은 고딕"/>
        <family val="2"/>
        <charset val="129"/>
      </rPr>
      <t>분포</t>
    </r>
    <phoneticPr fontId="6" type="noConversion"/>
  </si>
  <si>
    <r>
      <t>Priority</t>
    </r>
    <r>
      <rPr>
        <sz val="11"/>
        <color theme="0"/>
        <rFont val="맑은 고딕"/>
        <family val="2"/>
        <charset val="129"/>
      </rPr>
      <t xml:space="preserve">별 </t>
    </r>
    <r>
      <rPr>
        <sz val="11"/>
        <color theme="0"/>
        <rFont val="Calibri"/>
        <family val="2"/>
      </rPr>
      <t>TC</t>
    </r>
    <r>
      <rPr>
        <sz val="11"/>
        <color theme="0"/>
        <rFont val="맑은 고딕"/>
        <family val="2"/>
        <charset val="129"/>
      </rPr>
      <t>분포</t>
    </r>
    <phoneticPr fontId="6" type="noConversion"/>
  </si>
  <si>
    <t>주요 리스크</t>
    <phoneticPr fontId="6" type="noConversion"/>
  </si>
  <si>
    <r>
      <rPr>
        <sz val="11"/>
        <color theme="1"/>
        <rFont val="맑은 고딕"/>
        <family val="3"/>
        <charset val="129"/>
      </rPr>
      <t>급여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제한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초과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상태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저장</t>
    </r>
    <phoneticPr fontId="6" type="noConversion"/>
  </si>
  <si>
    <t>포지션 제한 무시</t>
    <phoneticPr fontId="6" type="noConversion"/>
  </si>
  <si>
    <t>선발 인원 부족 상태 저장</t>
    <phoneticPr fontId="6" type="noConversion"/>
  </si>
  <si>
    <t>저장 후 스쿼드 데이터 유실</t>
    <phoneticPr fontId="6" type="noConversion"/>
  </si>
  <si>
    <t>스쿼드 간 데이터 오염</t>
    <phoneticPr fontId="6" type="noConversion"/>
  </si>
  <si>
    <t>팀컬러 적용 상태 불일ㄹ치</t>
    <phoneticPr fontId="6" type="noConversion"/>
  </si>
  <si>
    <t>PC spec</t>
    <phoneticPr fontId="6" type="noConversion"/>
  </si>
  <si>
    <t>Game Version</t>
    <phoneticPr fontId="6" type="noConversion"/>
  </si>
  <si>
    <t>Test Data</t>
    <phoneticPr fontId="6" type="noConversion"/>
  </si>
  <si>
    <r>
      <t>FC</t>
    </r>
    <r>
      <rPr>
        <sz val="11"/>
        <color theme="1"/>
        <rFont val="맑은 고딕"/>
        <family val="3"/>
        <charset val="129"/>
      </rPr>
      <t>온라인 라이브서비스 기준</t>
    </r>
    <phoneticPr fontId="6" type="noConversion"/>
  </si>
  <si>
    <t xml:space="preserve">window 11 </t>
    <phoneticPr fontId="6" type="noConversion"/>
  </si>
  <si>
    <t>운영체제</t>
    <phoneticPr fontId="6" type="noConversion"/>
  </si>
  <si>
    <r>
      <t xml:space="preserve">DirectX </t>
    </r>
    <r>
      <rPr>
        <sz val="11"/>
        <color theme="1"/>
        <rFont val="맑은 고딕"/>
        <family val="2"/>
        <charset val="129"/>
      </rPr>
      <t>버전</t>
    </r>
    <phoneticPr fontId="6" type="noConversion"/>
  </si>
  <si>
    <t>DirextX 12</t>
    <phoneticPr fontId="6" type="noConversion"/>
  </si>
  <si>
    <t>GPU</t>
    <phoneticPr fontId="6" type="noConversion"/>
  </si>
  <si>
    <t>NVIDIA RTX 4060 TI</t>
    <phoneticPr fontId="6" type="noConversion"/>
  </si>
  <si>
    <t>RAM</t>
    <phoneticPr fontId="6" type="noConversion"/>
  </si>
  <si>
    <t>32GB</t>
    <phoneticPr fontId="6" type="noConversion"/>
  </si>
  <si>
    <t>CPU</t>
    <phoneticPr fontId="6" type="noConversion"/>
  </si>
  <si>
    <r>
      <t>2026</t>
    </r>
    <r>
      <rPr>
        <sz val="11"/>
        <color theme="1"/>
        <rFont val="맑은 고딕"/>
        <family val="3"/>
        <charset val="129"/>
      </rPr>
      <t>년 7월6일</t>
    </r>
    <phoneticPr fontId="6" type="noConversion"/>
  </si>
  <si>
    <t>테스트 진행환경</t>
    <phoneticPr fontId="6" type="noConversion"/>
  </si>
  <si>
    <t>AMD RYZEN 5 7500F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</si>
</sst>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26">
    <font>
      <sz val="11"/>
      <color theme="1"/>
      <name val="Calibri"/>
    </font>
    <font>
      <sz val="10"/>
      <color rgb="FF000000"/>
      <name val="Calibri"/>
      <family val="2"/>
    </font>
    <font>
      <sz val="10"/>
      <color rgb="FF000000"/>
      <name val="경기천년제목OTF Light"/>
      <family val="3"/>
      <charset val="129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돋움"/>
      <family val="3"/>
      <charset val="129"/>
    </font>
    <font>
      <sz val="11"/>
      <color theme="1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4"/>
      <color theme="0"/>
      <name val="G마켓 산스 TTF Medium"/>
      <family val="3"/>
      <charset val="129"/>
    </font>
    <font>
      <sz val="11"/>
      <color rgb="FF000000"/>
      <name val="Calibri"/>
      <family val="2"/>
    </font>
    <font>
      <b/>
      <sz val="10"/>
      <color theme="1"/>
      <name val="G마켓 산스 TTF Light"/>
      <family val="3"/>
      <charset val="129"/>
    </font>
    <font>
      <sz val="8"/>
      <name val="Calibri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20"/>
      <color theme="1"/>
      <name val="Calibri"/>
      <family val="2"/>
    </font>
    <font>
      <b/>
      <sz val="20"/>
      <color theme="1"/>
      <name val="맑은 고딕"/>
      <family val="3"/>
      <charset val="129"/>
    </font>
    <font>
      <sz val="11"/>
      <color theme="1"/>
      <name val="Calibri"/>
      <family val="2"/>
    </font>
    <font>
      <sz val="11"/>
      <color theme="1"/>
      <name val="맑은 고딕"/>
      <family val="2"/>
      <charset val="129"/>
    </font>
    <font>
      <b/>
      <sz val="20"/>
      <color theme="1"/>
      <name val="Calibri"/>
      <family val="3"/>
    </font>
    <font>
      <b/>
      <sz val="20"/>
      <color theme="1"/>
      <name val="Calibri"/>
      <family val="3"/>
      <charset val="129"/>
    </font>
    <font>
      <sz val="11"/>
      <color theme="0"/>
      <name val="Calibri"/>
      <family val="2"/>
    </font>
    <font>
      <sz val="11"/>
      <color theme="0"/>
      <name val="맑은 고딕"/>
      <family val="3"/>
      <charset val="129"/>
    </font>
    <font>
      <sz val="12"/>
      <color theme="1"/>
      <name val="Calibri"/>
      <family val="2"/>
      <charset val="129"/>
      <scheme val="minor"/>
    </font>
    <font>
      <sz val="9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  <font>
      <sz val="11"/>
      <color theme="1"/>
      <name val="Calibri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theme="0"/>
      </patternFill>
    </fill>
    <fill>
      <patternFill patternType="solid">
        <fgColor theme="3" tint="-0.4999542222357860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7F468"/>
        <bgColor indexed="64"/>
      </patternFill>
    </fill>
    <fill>
      <patternFill patternType="solid">
        <fgColor rgb="FF181500"/>
        <bgColor indexed="64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rgb="FFD9D9D9"/>
      </bottom>
      <diagonal/>
    </border>
    <border>
      <left/>
      <right style="thin">
        <color indexed="64"/>
      </right>
      <top style="thin">
        <color rgb="FFD9D9D9"/>
      </top>
      <bottom style="thin">
        <color rgb="FFD9D9D9"/>
      </bottom>
      <diagonal/>
    </border>
    <border>
      <left/>
      <right style="thin">
        <color indexed="64"/>
      </right>
      <top style="thin">
        <color rgb="FFD9D9D9"/>
      </top>
      <bottom/>
      <diagonal/>
    </border>
    <border>
      <left style="thin">
        <color indexed="64"/>
      </left>
      <right style="thin">
        <color indexed="64"/>
      </right>
      <top style="thin">
        <color rgb="FFD9D9D9"/>
      </top>
      <bottom/>
      <diagonal/>
    </border>
    <border>
      <left style="thin">
        <color indexed="64"/>
      </left>
      <right style="thin">
        <color indexed="64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rgb="FFD9D9D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1"/>
    <xf numFmtId="0" fontId="4" fillId="0" borderId="1"/>
    <xf numFmtId="0" fontId="4" fillId="0" borderId="1"/>
    <xf numFmtId="9" fontId="16" fillId="0" borderId="0" applyFont="0" applyFill="0" applyBorder="0" applyAlignment="0" applyProtection="0">
      <alignment vertical="center"/>
    </xf>
    <xf numFmtId="0" fontId="22" fillId="0" borderId="1">
      <alignment vertical="center"/>
    </xf>
    <xf numFmtId="0" fontId="3" fillId="0" borderId="1"/>
  </cellStyleXfs>
  <cellXfs count="232">
    <xf numFmtId="0" fontId="0" fillId="0" borderId="0" xfId="0" applyBorder="1"/>
    <xf numFmtId="0" fontId="0" fillId="0" borderId="0" xfId="0" applyBorder="1" applyAlignment="1">
      <alignment horizontal="center"/>
    </xf>
    <xf numFmtId="0" fontId="7" fillId="0" borderId="0" xfId="0" applyFont="1" applyBorder="1"/>
    <xf numFmtId="0" fontId="1" fillId="3" borderId="3" xfId="1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/>
    </xf>
    <xf numFmtId="0" fontId="8" fillId="3" borderId="3" xfId="1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0" fillId="5" borderId="0" xfId="0" applyFill="1" applyBorder="1"/>
    <xf numFmtId="0" fontId="3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/>
    </xf>
    <xf numFmtId="0" fontId="3" fillId="0" borderId="1" xfId="0" applyFont="1" applyAlignment="1">
      <alignment horizontal="center" vertical="center" wrapText="1"/>
    </xf>
    <xf numFmtId="0" fontId="0" fillId="0" borderId="1" xfId="0" applyAlignment="1">
      <alignment horizontal="center" vertical="center"/>
    </xf>
    <xf numFmtId="0" fontId="7" fillId="0" borderId="1" xfId="0" applyFont="1" applyAlignment="1">
      <alignment horizontal="left" vertical="center" wrapText="1"/>
    </xf>
    <xf numFmtId="0" fontId="0" fillId="0" borderId="1" xfId="0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7" fillId="0" borderId="1" xfId="0" applyFont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/>
    </xf>
    <xf numFmtId="0" fontId="4" fillId="0" borderId="1" xfId="0" applyFont="1" applyAlignment="1">
      <alignment horizontal="left" vertical="center"/>
    </xf>
    <xf numFmtId="0" fontId="3" fillId="0" borderId="1" xfId="0" applyFont="1" applyAlignment="1">
      <alignment horizontal="left" vertical="center" wrapText="1"/>
    </xf>
    <xf numFmtId="0" fontId="4" fillId="0" borderId="8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" fillId="3" borderId="1" xfId="1" applyFont="1" applyFill="1" applyAlignment="1">
      <alignment horizontal="center" vertical="center" wrapText="1"/>
    </xf>
    <xf numFmtId="0" fontId="8" fillId="3" borderId="1" xfId="1" applyFont="1" applyFill="1" applyAlignment="1">
      <alignment horizontal="left" vertical="center" wrapText="1"/>
    </xf>
    <xf numFmtId="0" fontId="1" fillId="3" borderId="1" xfId="1" applyFont="1" applyFill="1" applyAlignment="1">
      <alignment horizontal="left" vertical="center" wrapText="1"/>
    </xf>
    <xf numFmtId="0" fontId="1" fillId="3" borderId="6" xfId="1" applyFont="1" applyFill="1" applyBorder="1" applyAlignment="1">
      <alignment horizontal="center" vertical="center" wrapText="1"/>
    </xf>
    <xf numFmtId="0" fontId="8" fillId="3" borderId="6" xfId="1" applyFont="1" applyFill="1" applyBorder="1" applyAlignment="1">
      <alignment horizontal="center" vertical="center" wrapText="1"/>
    </xf>
    <xf numFmtId="0" fontId="8" fillId="3" borderId="6" xfId="1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1" fillId="6" borderId="9" xfId="1" applyFont="1" applyFill="1" applyBorder="1" applyAlignment="1">
      <alignment horizontal="center" vertical="center" wrapText="1"/>
    </xf>
    <xf numFmtId="0" fontId="1" fillId="6" borderId="10" xfId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7" fillId="0" borderId="1" xfId="0" applyFont="1" applyAlignment="1">
      <alignment horizontal="center" vertical="center" wrapText="1"/>
    </xf>
    <xf numFmtId="0" fontId="8" fillId="3" borderId="1" xfId="1" applyFont="1" applyFill="1" applyAlignment="1">
      <alignment horizontal="center" vertical="center" wrapText="1"/>
    </xf>
    <xf numFmtId="0" fontId="0" fillId="3" borderId="1" xfId="0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6" borderId="11" xfId="1" applyFont="1" applyFill="1" applyBorder="1" applyAlignment="1">
      <alignment horizontal="center" vertical="center" wrapText="1"/>
    </xf>
    <xf numFmtId="0" fontId="1" fillId="6" borderId="13" xfId="1" applyFont="1" applyFill="1" applyBorder="1" applyAlignment="1">
      <alignment horizontal="center" vertical="center" wrapText="1"/>
    </xf>
    <xf numFmtId="0" fontId="1" fillId="6" borderId="12" xfId="1" applyFont="1" applyFill="1" applyBorder="1" applyAlignment="1">
      <alignment horizontal="center" vertical="center" wrapText="1"/>
    </xf>
    <xf numFmtId="0" fontId="1" fillId="3" borderId="6" xfId="1" applyFont="1" applyFill="1" applyBorder="1" applyAlignment="1">
      <alignment horizontal="left" vertical="center" wrapText="1"/>
    </xf>
    <xf numFmtId="0" fontId="0" fillId="3" borderId="1" xfId="0" applyFill="1" applyAlignment="1">
      <alignment horizontal="left" vertical="center"/>
    </xf>
    <xf numFmtId="0" fontId="7" fillId="3" borderId="1" xfId="0" applyFont="1" applyFill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" fillId="6" borderId="14" xfId="1" applyFont="1" applyFill="1" applyBorder="1" applyAlignment="1">
      <alignment horizontal="center" vertical="center" wrapText="1"/>
    </xf>
    <xf numFmtId="0" fontId="1" fillId="6" borderId="15" xfId="1" applyFont="1" applyFill="1" applyBorder="1" applyAlignment="1">
      <alignment horizontal="center" vertical="center" wrapText="1"/>
    </xf>
    <xf numFmtId="0" fontId="9" fillId="4" borderId="1" xfId="0" applyFont="1" applyFill="1" applyAlignment="1">
      <alignment vertical="top"/>
    </xf>
    <xf numFmtId="0" fontId="13" fillId="0" borderId="2" xfId="0" applyFont="1" applyBorder="1" applyAlignment="1">
      <alignment horizontal="center" vertical="center"/>
    </xf>
    <xf numFmtId="0" fontId="0" fillId="0" borderId="16" xfId="0" applyBorder="1"/>
    <xf numFmtId="0" fontId="7" fillId="0" borderId="17" xfId="0" applyFont="1" applyBorder="1"/>
    <xf numFmtId="0" fontId="0" fillId="0" borderId="17" xfId="0" applyBorder="1"/>
    <xf numFmtId="0" fontId="0" fillId="5" borderId="1" xfId="0" applyFill="1" applyAlignment="1">
      <alignment vertical="center"/>
    </xf>
    <xf numFmtId="0" fontId="3" fillId="0" borderId="1" xfId="0" applyFont="1" applyAlignment="1">
      <alignment horizontal="right" vertical="center" wrapText="1"/>
    </xf>
    <xf numFmtId="0" fontId="5" fillId="0" borderId="1" xfId="0" applyFont="1" applyAlignment="1">
      <alignment horizontal="center" vertical="center" wrapText="1"/>
    </xf>
    <xf numFmtId="0" fontId="5" fillId="0" borderId="1" xfId="0" applyFont="1" applyAlignment="1">
      <alignment horizontal="right" vertical="center" wrapText="1"/>
    </xf>
    <xf numFmtId="0" fontId="3" fillId="0" borderId="1" xfId="0" applyFont="1" applyAlignment="1">
      <alignment vertical="center" wrapText="1"/>
    </xf>
    <xf numFmtId="10" fontId="3" fillId="0" borderId="1" xfId="0" applyNumberFormat="1" applyFont="1" applyAlignment="1">
      <alignment horizontal="right" vertical="center" wrapText="1"/>
    </xf>
    <xf numFmtId="0" fontId="0" fillId="7" borderId="0" xfId="0" applyFill="1" applyBorder="1"/>
    <xf numFmtId="0" fontId="0" fillId="7" borderId="21" xfId="0" applyFill="1" applyBorder="1" applyAlignment="1">
      <alignment horizontal="center"/>
    </xf>
    <xf numFmtId="0" fontId="3" fillId="7" borderId="21" xfId="0" applyFont="1" applyFill="1" applyBorder="1" applyAlignment="1">
      <alignment horizontal="center"/>
    </xf>
    <xf numFmtId="0" fontId="0" fillId="7" borderId="1" xfId="0" applyFill="1" applyAlignment="1">
      <alignment horizontal="center"/>
    </xf>
    <xf numFmtId="0" fontId="5" fillId="7" borderId="2" xfId="0" applyFont="1" applyFill="1" applyBorder="1" applyAlignment="1">
      <alignment horizontal="center" vertical="center" wrapText="1"/>
    </xf>
    <xf numFmtId="0" fontId="5" fillId="7" borderId="21" xfId="0" applyFont="1" applyFill="1" applyBorder="1" applyAlignment="1">
      <alignment horizontal="center" vertical="center" wrapText="1"/>
    </xf>
    <xf numFmtId="0" fontId="5" fillId="7" borderId="23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0" fillId="8" borderId="0" xfId="0" applyFill="1" applyBorder="1"/>
    <xf numFmtId="0" fontId="3" fillId="7" borderId="1" xfId="0" applyFont="1" applyFill="1" applyAlignment="1">
      <alignment horizontal="center"/>
    </xf>
    <xf numFmtId="0" fontId="3" fillId="7" borderId="0" xfId="0" applyFont="1" applyFill="1" applyBorder="1" applyAlignment="1">
      <alignment vertical="center" wrapText="1"/>
    </xf>
    <xf numFmtId="0" fontId="0" fillId="7" borderId="1" xfId="0" applyFill="1" applyAlignment="1">
      <alignment vertical="center"/>
    </xf>
    <xf numFmtId="0" fontId="23" fillId="7" borderId="1" xfId="0" applyFont="1" applyFill="1" applyAlignment="1">
      <alignment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16" xfId="0" applyFont="1" applyFill="1" applyBorder="1" applyAlignment="1">
      <alignment horizontal="center" vertical="center"/>
    </xf>
    <xf numFmtId="0" fontId="13" fillId="7" borderId="5" xfId="0" applyFont="1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3" fillId="7" borderId="21" xfId="0" applyFont="1" applyFill="1" applyBorder="1" applyAlignment="1">
      <alignment horizontal="center" vertical="center" wrapText="1"/>
    </xf>
    <xf numFmtId="0" fontId="5" fillId="7" borderId="22" xfId="0" applyFont="1" applyFill="1" applyBorder="1" applyAlignment="1">
      <alignment horizontal="center" vertical="center" wrapText="1"/>
    </xf>
    <xf numFmtId="0" fontId="0" fillId="7" borderId="17" xfId="0" applyFill="1" applyBorder="1" applyAlignment="1">
      <alignment horizontal="center" vertical="center" wrapText="1"/>
    </xf>
    <xf numFmtId="0" fontId="3" fillId="7" borderId="17" xfId="0" applyFont="1" applyFill="1" applyBorder="1" applyAlignment="1">
      <alignment horizontal="center"/>
    </xf>
    <xf numFmtId="0" fontId="5" fillId="7" borderId="1" xfId="0" applyFont="1" applyFill="1" applyAlignment="1">
      <alignment horizontal="center" vertical="center" wrapText="1"/>
    </xf>
    <xf numFmtId="0" fontId="5" fillId="7" borderId="1" xfId="0" applyFont="1" applyFill="1" applyAlignment="1">
      <alignment horizontal="right" vertical="center" wrapText="1"/>
    </xf>
    <xf numFmtId="0" fontId="0" fillId="7" borderId="0" xfId="0" applyFill="1" applyBorder="1" applyAlignment="1">
      <alignment horizontal="right" vertical="center" wrapText="1"/>
    </xf>
    <xf numFmtId="0" fontId="3" fillId="7" borderId="0" xfId="0" applyFont="1" applyFill="1" applyBorder="1"/>
    <xf numFmtId="0" fontId="3" fillId="7" borderId="5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3" fillId="7" borderId="19" xfId="0" applyFont="1" applyFill="1" applyBorder="1" applyAlignment="1">
      <alignment horizontal="center" vertical="center" wrapText="1"/>
    </xf>
    <xf numFmtId="0" fontId="3" fillId="7" borderId="1" xfId="0" applyFont="1" applyFill="1" applyAlignment="1">
      <alignment horizontal="center" vertical="center" wrapText="1"/>
    </xf>
    <xf numFmtId="0" fontId="0" fillId="7" borderId="1" xfId="0" applyFill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16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7" borderId="1" xfId="0" applyFill="1"/>
    <xf numFmtId="0" fontId="13" fillId="7" borderId="0" xfId="0" applyFont="1" applyFill="1" applyBorder="1" applyAlignment="1">
      <alignment horizontal="right"/>
    </xf>
    <xf numFmtId="0" fontId="0" fillId="7" borderId="19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3" fillId="7" borderId="19" xfId="0" applyFont="1" applyFill="1" applyBorder="1" applyAlignment="1">
      <alignment horizontal="center" vertical="center"/>
    </xf>
    <xf numFmtId="0" fontId="0" fillId="7" borderId="20" xfId="0" applyFill="1" applyBorder="1"/>
    <xf numFmtId="0" fontId="0" fillId="7" borderId="3" xfId="0" applyFill="1" applyBorder="1"/>
    <xf numFmtId="0" fontId="0" fillId="7" borderId="4" xfId="0" applyFill="1" applyBorder="1"/>
    <xf numFmtId="0" fontId="3" fillId="7" borderId="2" xfId="0" applyFont="1" applyFill="1" applyBorder="1" applyAlignment="1">
      <alignment horizontal="center" vertical="center"/>
    </xf>
    <xf numFmtId="0" fontId="21" fillId="5" borderId="0" xfId="0" applyFont="1" applyFill="1" applyBorder="1" applyAlignment="1">
      <alignment vertical="center"/>
    </xf>
    <xf numFmtId="0" fontId="20" fillId="5" borderId="0" xfId="0" applyFont="1" applyFill="1" applyBorder="1" applyAlignment="1">
      <alignment vertical="center"/>
    </xf>
    <xf numFmtId="0" fontId="20" fillId="5" borderId="0" xfId="0" applyFont="1" applyFill="1" applyBorder="1"/>
    <xf numFmtId="0" fontId="13" fillId="7" borderId="2" xfId="0" applyFont="1" applyFill="1" applyBorder="1"/>
    <xf numFmtId="0" fontId="14" fillId="7" borderId="1" xfId="0" applyFont="1" applyFill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1" fillId="2" borderId="3" xfId="0" applyFont="1" applyFill="1" applyBorder="1" applyAlignment="1">
      <alignment horizontal="left" vertical="top" wrapText="1"/>
    </xf>
    <xf numFmtId="0" fontId="7" fillId="0" borderId="16" xfId="0" applyFont="1" applyBorder="1" applyAlignment="1">
      <alignment horizontal="center" vertical="top" wrapText="1"/>
    </xf>
    <xf numFmtId="0" fontId="7" fillId="0" borderId="17" xfId="0" applyFont="1" applyBorder="1" applyAlignment="1">
      <alignment horizontal="center" vertical="top" wrapText="1"/>
    </xf>
    <xf numFmtId="0" fontId="7" fillId="0" borderId="18" xfId="0" applyFont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center" wrapText="1"/>
    </xf>
    <xf numFmtId="0" fontId="7" fillId="0" borderId="1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8" fillId="3" borderId="6" xfId="1" applyFont="1" applyFill="1" applyBorder="1" applyAlignment="1">
      <alignment horizontal="center" vertical="center" wrapText="1"/>
    </xf>
    <xf numFmtId="0" fontId="8" fillId="3" borderId="1" xfId="1" applyFont="1" applyFill="1" applyAlignment="1">
      <alignment horizontal="center" vertical="center" wrapText="1"/>
    </xf>
    <xf numFmtId="0" fontId="8" fillId="3" borderId="3" xfId="1" applyFont="1" applyFill="1" applyBorder="1" applyAlignment="1">
      <alignment horizontal="center" vertical="center" wrapText="1"/>
    </xf>
    <xf numFmtId="0" fontId="8" fillId="3" borderId="16" xfId="1" applyFont="1" applyFill="1" applyBorder="1" applyAlignment="1">
      <alignment horizontal="center" vertical="center" wrapText="1"/>
    </xf>
    <xf numFmtId="0" fontId="8" fillId="3" borderId="17" xfId="1" applyFont="1" applyFill="1" applyBorder="1" applyAlignment="1">
      <alignment horizontal="center" vertical="center" wrapText="1"/>
    </xf>
    <xf numFmtId="0" fontId="8" fillId="3" borderId="18" xfId="1" applyFont="1" applyFill="1" applyBorder="1" applyAlignment="1">
      <alignment horizontal="center" vertical="center" wrapText="1"/>
    </xf>
    <xf numFmtId="0" fontId="1" fillId="3" borderId="6" xfId="1" applyFont="1" applyFill="1" applyBorder="1" applyAlignment="1">
      <alignment horizontal="center" vertical="center" wrapText="1"/>
    </xf>
    <xf numFmtId="0" fontId="1" fillId="3" borderId="1" xfId="1" applyFont="1" applyFill="1" applyAlignment="1">
      <alignment horizontal="center" vertical="center" wrapText="1"/>
    </xf>
    <xf numFmtId="0" fontId="1" fillId="3" borderId="3" xfId="1" applyFont="1" applyFill="1" applyBorder="1" applyAlignment="1">
      <alignment horizontal="center" vertical="center" wrapText="1"/>
    </xf>
    <xf numFmtId="0" fontId="1" fillId="3" borderId="16" xfId="1" applyFont="1" applyFill="1" applyBorder="1" applyAlignment="1">
      <alignment horizontal="center" vertical="center" wrapText="1"/>
    </xf>
    <xf numFmtId="0" fontId="1" fillId="3" borderId="17" xfId="1" applyFont="1" applyFill="1" applyBorder="1" applyAlignment="1">
      <alignment horizontal="center" vertical="center" wrapText="1"/>
    </xf>
    <xf numFmtId="0" fontId="1" fillId="3" borderId="18" xfId="1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" xfId="0" applyFill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1" xfId="0" applyFont="1" applyFill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2" fillId="3" borderId="6" xfId="1" applyFont="1" applyFill="1" applyBorder="1" applyAlignment="1">
      <alignment horizontal="center" vertical="center" wrapText="1"/>
    </xf>
    <xf numFmtId="0" fontId="2" fillId="3" borderId="1" xfId="1" applyFont="1" applyFill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1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top" wrapText="1"/>
    </xf>
    <xf numFmtId="0" fontId="3" fillId="0" borderId="17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0" fillId="7" borderId="19" xfId="0" applyFill="1" applyBorder="1" applyAlignment="1">
      <alignment horizontal="center" vertical="center"/>
    </xf>
    <xf numFmtId="0" fontId="0" fillId="7" borderId="1" xfId="0" applyFill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176" fontId="0" fillId="7" borderId="20" xfId="3" applyNumberFormat="1" applyFont="1" applyFill="1" applyBorder="1" applyAlignment="1">
      <alignment horizontal="center" vertical="center" wrapText="1"/>
    </xf>
    <xf numFmtId="176" fontId="0" fillId="7" borderId="3" xfId="3" applyNumberFormat="1" applyFont="1" applyFill="1" applyBorder="1" applyAlignment="1">
      <alignment horizontal="center" vertical="center" wrapText="1"/>
    </xf>
    <xf numFmtId="176" fontId="0" fillId="7" borderId="4" xfId="3" applyNumberFormat="1" applyFont="1" applyFill="1" applyBorder="1" applyAlignment="1">
      <alignment horizontal="center" vertical="center" wrapText="1"/>
    </xf>
    <xf numFmtId="176" fontId="3" fillId="7" borderId="21" xfId="0" applyNumberFormat="1" applyFont="1" applyFill="1" applyBorder="1" applyAlignment="1">
      <alignment horizontal="center" vertical="center" wrapText="1"/>
    </xf>
    <xf numFmtId="176" fontId="3" fillId="7" borderId="22" xfId="0" applyNumberFormat="1" applyFont="1" applyFill="1" applyBorder="1" applyAlignment="1">
      <alignment horizontal="center" vertical="center" wrapText="1"/>
    </xf>
    <xf numFmtId="176" fontId="3" fillId="7" borderId="23" xfId="0" applyNumberFormat="1" applyFont="1" applyFill="1" applyBorder="1" applyAlignment="1">
      <alignment horizontal="center" vertical="center" wrapText="1"/>
    </xf>
    <xf numFmtId="0" fontId="20" fillId="8" borderId="1" xfId="0" applyFont="1" applyFill="1" applyAlignment="1">
      <alignment horizontal="left" vertical="center"/>
    </xf>
    <xf numFmtId="176" fontId="0" fillId="7" borderId="17" xfId="3" applyNumberFormat="1" applyFont="1" applyFill="1" applyBorder="1" applyAlignment="1">
      <alignment horizontal="center" vertical="center" wrapText="1"/>
    </xf>
    <xf numFmtId="176" fontId="0" fillId="7" borderId="8" xfId="3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/>
    </xf>
    <xf numFmtId="0" fontId="0" fillId="7" borderId="2" xfId="0" applyFill="1" applyBorder="1" applyAlignment="1">
      <alignment horizontal="left"/>
    </xf>
    <xf numFmtId="0" fontId="3" fillId="7" borderId="16" xfId="0" applyFont="1" applyFill="1" applyBorder="1" applyAlignment="1">
      <alignment horizontal="center" vertical="center"/>
    </xf>
    <xf numFmtId="0" fontId="3" fillId="7" borderId="17" xfId="0" applyFont="1" applyFill="1" applyBorder="1" applyAlignment="1">
      <alignment horizontal="center" vertical="center"/>
    </xf>
    <xf numFmtId="0" fontId="3" fillId="7" borderId="18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left" vertical="center"/>
    </xf>
    <xf numFmtId="0" fontId="3" fillId="7" borderId="7" xfId="0" applyFont="1" applyFill="1" applyBorder="1" applyAlignment="1">
      <alignment horizontal="left" vertical="center"/>
    </xf>
    <xf numFmtId="0" fontId="3" fillId="7" borderId="1" xfId="0" applyFont="1" applyFill="1" applyAlignment="1">
      <alignment horizontal="left" vertical="center"/>
    </xf>
    <xf numFmtId="0" fontId="3" fillId="7" borderId="8" xfId="0" applyFont="1" applyFill="1" applyBorder="1" applyAlignment="1">
      <alignment horizontal="left" vertical="center"/>
    </xf>
    <xf numFmtId="0" fontId="13" fillId="7" borderId="19" xfId="0" applyFont="1" applyFill="1" applyBorder="1" applyAlignment="1">
      <alignment horizontal="center" vertical="center"/>
    </xf>
    <xf numFmtId="0" fontId="13" fillId="7" borderId="20" xfId="0" applyFont="1" applyFill="1" applyBorder="1" applyAlignment="1">
      <alignment horizontal="center" vertical="center"/>
    </xf>
    <xf numFmtId="0" fontId="13" fillId="7" borderId="21" xfId="0" applyFont="1" applyFill="1" applyBorder="1" applyAlignment="1">
      <alignment horizontal="center"/>
    </xf>
    <xf numFmtId="0" fontId="13" fillId="7" borderId="22" xfId="0" applyFont="1" applyFill="1" applyBorder="1" applyAlignment="1">
      <alignment horizontal="center"/>
    </xf>
    <xf numFmtId="0" fontId="13" fillId="7" borderId="23" xfId="0" applyFont="1" applyFill="1" applyBorder="1" applyAlignment="1">
      <alignment horizontal="center"/>
    </xf>
    <xf numFmtId="176" fontId="0" fillId="7" borderId="19" xfId="3" applyNumberFormat="1" applyFont="1" applyFill="1" applyBorder="1" applyAlignment="1">
      <alignment horizontal="center" vertical="center" wrapText="1"/>
    </xf>
    <xf numFmtId="176" fontId="0" fillId="7" borderId="1" xfId="3" applyNumberFormat="1" applyFont="1" applyFill="1" applyBorder="1" applyAlignment="1">
      <alignment horizontal="center" vertical="center" wrapText="1"/>
    </xf>
    <xf numFmtId="0" fontId="25" fillId="7" borderId="5" xfId="0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19" fillId="7" borderId="0" xfId="0" applyFont="1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20" fillId="8" borderId="0" xfId="0" applyFont="1" applyFill="1" applyBorder="1" applyAlignment="1">
      <alignment horizontal="left"/>
    </xf>
    <xf numFmtId="0" fontId="0" fillId="8" borderId="0" xfId="0" applyFill="1" applyBorder="1" applyAlignment="1">
      <alignment horizontal="left"/>
    </xf>
    <xf numFmtId="0" fontId="3" fillId="7" borderId="6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7" borderId="21" xfId="0" applyFont="1" applyFill="1" applyBorder="1" applyAlignment="1">
      <alignment horizontal="center" vertical="center" wrapText="1"/>
    </xf>
    <xf numFmtId="0" fontId="3" fillId="7" borderId="22" xfId="0" applyFont="1" applyFill="1" applyBorder="1" applyAlignment="1">
      <alignment horizontal="center" vertical="center" wrapText="1"/>
    </xf>
    <xf numFmtId="0" fontId="3" fillId="7" borderId="23" xfId="0" applyFont="1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1" xfId="0" applyFill="1" applyAlignment="1">
      <alignment horizontal="center"/>
    </xf>
    <xf numFmtId="0" fontId="0" fillId="7" borderId="8" xfId="0" applyFill="1" applyBorder="1" applyAlignment="1">
      <alignment horizontal="center"/>
    </xf>
    <xf numFmtId="176" fontId="0" fillId="7" borderId="5" xfId="3" applyNumberFormat="1" applyFont="1" applyFill="1" applyBorder="1" applyAlignment="1">
      <alignment horizontal="center"/>
    </xf>
    <xf numFmtId="176" fontId="0" fillId="7" borderId="6" xfId="3" applyNumberFormat="1" applyFont="1" applyFill="1" applyBorder="1" applyAlignment="1">
      <alignment horizontal="center"/>
    </xf>
    <xf numFmtId="176" fontId="0" fillId="7" borderId="7" xfId="3" applyNumberFormat="1" applyFont="1" applyFill="1" applyBorder="1" applyAlignment="1">
      <alignment horizontal="center"/>
    </xf>
    <xf numFmtId="10" fontId="0" fillId="7" borderId="20" xfId="3" applyNumberFormat="1" applyFont="1" applyFill="1" applyBorder="1" applyAlignment="1">
      <alignment horizontal="center"/>
    </xf>
    <xf numFmtId="10" fontId="0" fillId="7" borderId="3" xfId="3" applyNumberFormat="1" applyFont="1" applyFill="1" applyBorder="1" applyAlignment="1">
      <alignment horizontal="center"/>
    </xf>
    <xf numFmtId="10" fontId="0" fillId="7" borderId="4" xfId="3" applyNumberFormat="1" applyFont="1" applyFill="1" applyBorder="1" applyAlignment="1">
      <alignment horizontal="center"/>
    </xf>
    <xf numFmtId="0" fontId="13" fillId="7" borderId="5" xfId="0" applyFont="1" applyFill="1" applyBorder="1" applyAlignment="1">
      <alignment horizontal="center" vertical="center"/>
    </xf>
    <xf numFmtId="0" fontId="13" fillId="7" borderId="6" xfId="0" applyFont="1" applyFill="1" applyBorder="1" applyAlignment="1">
      <alignment horizontal="center" vertical="center"/>
    </xf>
    <xf numFmtId="0" fontId="13" fillId="7" borderId="7" xfId="0" applyFont="1" applyFill="1" applyBorder="1" applyAlignment="1">
      <alignment horizontal="center" vertical="center"/>
    </xf>
    <xf numFmtId="176" fontId="3" fillId="7" borderId="5" xfId="3" applyNumberFormat="1" applyFont="1" applyFill="1" applyBorder="1" applyAlignment="1">
      <alignment horizontal="center"/>
    </xf>
    <xf numFmtId="176" fontId="3" fillId="7" borderId="6" xfId="3" applyNumberFormat="1" applyFont="1" applyFill="1" applyBorder="1" applyAlignment="1">
      <alignment horizontal="center"/>
    </xf>
    <xf numFmtId="176" fontId="3" fillId="7" borderId="7" xfId="3" applyNumberFormat="1" applyFont="1" applyFill="1" applyBorder="1" applyAlignment="1">
      <alignment horizontal="center"/>
    </xf>
    <xf numFmtId="176" fontId="3" fillId="7" borderId="19" xfId="3" applyNumberFormat="1" applyFont="1" applyFill="1" applyBorder="1" applyAlignment="1">
      <alignment horizontal="center"/>
    </xf>
    <xf numFmtId="176" fontId="3" fillId="7" borderId="1" xfId="3" applyNumberFormat="1" applyFont="1" applyFill="1" applyBorder="1" applyAlignment="1">
      <alignment horizontal="center"/>
    </xf>
    <xf numFmtId="176" fontId="3" fillId="7" borderId="8" xfId="3" applyNumberFormat="1" applyFont="1" applyFill="1" applyBorder="1" applyAlignment="1">
      <alignment horizontal="center"/>
    </xf>
  </cellXfs>
  <cellStyles count="6">
    <cellStyle name="백분율" xfId="3" builtinId="5"/>
    <cellStyle name="표준" xfId="0" builtinId="0"/>
    <cellStyle name="표준 2" xfId="2" xr:uid="{00000000-0005-0000-0000-000002000000}"/>
    <cellStyle name="표준 3" xfId="4" xr:uid="{DA8EEF44-8B25-487E-A1E9-80A3417CC5FD}"/>
    <cellStyle name="Normal" xfId="1" xr:uid="{00000000-0005-0000-0000-000001000000}"/>
    <cellStyle name="Normal 2" xfId="5" xr:uid="{9FEB259A-3350-4D05-955F-AB44EB3DB302}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 tint="0.499984740745262"/>
        </patternFill>
      </fill>
    </dxf>
  </dxfs>
  <tableStyles count="0" defaultTableStyle="TableStyleMedium2" defaultPivotStyle="PivotStyleLight16"/>
  <colors>
    <mruColors>
      <color rgb="FF07F468"/>
      <color rgb="FF181500"/>
      <color rgb="FF181516"/>
      <color rgb="FF1850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4</xdr:row>
      <xdr:rowOff>0</xdr:rowOff>
    </xdr:from>
    <xdr:to>
      <xdr:col>14</xdr:col>
      <xdr:colOff>0</xdr:colOff>
      <xdr:row>47</xdr:row>
      <xdr:rowOff>123265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CDCDD6D-10B3-8A33-8C91-F9A45CC7554D}"/>
            </a:ext>
          </a:extLst>
        </xdr:cNvPr>
        <xdr:cNvSpPr txBox="1"/>
      </xdr:nvSpPr>
      <xdr:spPr>
        <a:xfrm>
          <a:off x="1" y="762000"/>
          <a:ext cx="8314764" cy="8314765"/>
        </a:xfrm>
        <a:prstGeom prst="rect">
          <a:avLst/>
        </a:prstGeom>
        <a:solidFill>
          <a:srgbClr val="181516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ko-KR" altLang="en-US" sz="11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25</xdr:col>
      <xdr:colOff>0</xdr:colOff>
      <xdr:row>30</xdr:row>
      <xdr:rowOff>0</xdr:rowOff>
    </xdr:from>
    <xdr:to>
      <xdr:col>25</xdr:col>
      <xdr:colOff>304800</xdr:colOff>
      <xdr:row>31</xdr:row>
      <xdr:rowOff>114300</xdr:rowOff>
    </xdr:to>
    <xdr:sp macro="" textlink="">
      <xdr:nvSpPr>
        <xdr:cNvPr id="3078" name="AutoShape 6" descr="EAFC">
          <a:extLst>
            <a:ext uri="{FF2B5EF4-FFF2-40B4-BE49-F238E27FC236}">
              <a16:creationId xmlns:a16="http://schemas.microsoft.com/office/drawing/2014/main" id="{5CA9EDF8-2AE8-6921-9913-0F72A58234BC}"/>
            </a:ext>
          </a:extLst>
        </xdr:cNvPr>
        <xdr:cNvSpPr>
          <a:spLocks noChangeAspect="1" noChangeArrowheads="1"/>
        </xdr:cNvSpPr>
      </xdr:nvSpPr>
      <xdr:spPr bwMode="auto">
        <a:xfrm>
          <a:off x="147637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77289</xdr:colOff>
      <xdr:row>6</xdr:row>
      <xdr:rowOff>10217</xdr:rowOff>
    </xdr:from>
    <xdr:to>
      <xdr:col>12</xdr:col>
      <xdr:colOff>416718</xdr:colOff>
      <xdr:row>45</xdr:row>
      <xdr:rowOff>179298</xdr:rowOff>
    </xdr:to>
    <xdr:grpSp>
      <xdr:nvGrpSpPr>
        <xdr:cNvPr id="21" name="그룹 20">
          <a:extLst>
            <a:ext uri="{FF2B5EF4-FFF2-40B4-BE49-F238E27FC236}">
              <a16:creationId xmlns:a16="http://schemas.microsoft.com/office/drawing/2014/main" id="{628C74D7-4C27-B5AF-3DE7-F5F5DB024480}"/>
            </a:ext>
          </a:extLst>
        </xdr:cNvPr>
        <xdr:cNvGrpSpPr/>
      </xdr:nvGrpSpPr>
      <xdr:grpSpPr>
        <a:xfrm>
          <a:off x="750941" y="1136652"/>
          <a:ext cx="7749603" cy="7490907"/>
          <a:chOff x="413466" y="929099"/>
          <a:chExt cx="6872458" cy="7598581"/>
        </a:xfrm>
      </xdr:grpSpPr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69FEEB71-77BE-5E11-BEE0-3161B6877319}"/>
              </a:ext>
            </a:extLst>
          </xdr:cNvPr>
          <xdr:cNvSpPr txBox="1"/>
        </xdr:nvSpPr>
        <xdr:spPr>
          <a:xfrm>
            <a:off x="413466" y="929099"/>
            <a:ext cx="6872458" cy="1690275"/>
          </a:xfrm>
          <a:prstGeom prst="rect">
            <a:avLst/>
          </a:prstGeom>
          <a:noFill/>
          <a:ln w="9525" cmpd="sng">
            <a:solidFill>
              <a:srgbClr val="07F468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400" b="1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[</a:t>
            </a:r>
            <a:r>
              <a:rPr lang="ko-KR" altLang="ko-KR" sz="1400" b="1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테스트 개요</a:t>
            </a:r>
            <a:r>
              <a:rPr lang="en-US" altLang="ko-KR" sz="1400" b="1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]</a:t>
            </a:r>
          </a:p>
          <a:p>
            <a:endParaRPr lang="ko-KR" altLang="ko-KR" sz="1400" b="1">
              <a:solidFill>
                <a:schemeClr val="bg1"/>
              </a:solidFill>
              <a:effectLst/>
            </a:endParaRPr>
          </a:p>
          <a:p>
            <a:r>
              <a:rPr lang="ko-KR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테스트 대상</a:t>
            </a:r>
            <a:r>
              <a:rPr lang="en-US" altLang="ko-KR" sz="110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	:  </a:t>
            </a:r>
            <a:r>
              <a:rPr lang="en-US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FC</a:t>
            </a:r>
            <a:r>
              <a:rPr lang="ko-KR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온라인 </a:t>
            </a:r>
            <a:r>
              <a:rPr lang="en-US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&gt; </a:t>
            </a:r>
            <a:r>
              <a:rPr lang="ko-KR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구단 관리 </a:t>
            </a:r>
            <a:r>
              <a:rPr lang="en-US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&gt; </a:t>
            </a:r>
            <a:r>
              <a:rPr lang="ko-KR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스쿼드 관리</a:t>
            </a:r>
            <a:endParaRPr lang="ko-KR" altLang="ko-KR">
              <a:solidFill>
                <a:schemeClr val="bg1"/>
              </a:solidFill>
              <a:effectLst/>
            </a:endParaRPr>
          </a:p>
          <a:p>
            <a:r>
              <a:rPr lang="ko-KR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테스트 목적</a:t>
            </a:r>
            <a:r>
              <a:rPr lang="en-US" altLang="ko-KR" sz="110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	:  </a:t>
            </a:r>
            <a:r>
              <a:rPr lang="ko-KR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선수 배치</a:t>
            </a:r>
            <a:r>
              <a:rPr lang="en-US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, </a:t>
            </a:r>
            <a:r>
              <a:rPr lang="ko-KR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급여 제한</a:t>
            </a:r>
            <a:r>
              <a:rPr lang="en-US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, </a:t>
            </a:r>
            <a:r>
              <a:rPr lang="ko-KR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포지션 제한</a:t>
            </a:r>
            <a:r>
              <a:rPr lang="en-US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, </a:t>
            </a:r>
            <a:r>
              <a:rPr lang="ko-KR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자동 편성</a:t>
            </a:r>
            <a:r>
              <a:rPr lang="en-US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, </a:t>
            </a:r>
            <a:r>
              <a:rPr lang="ko-KR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팀컬러</a:t>
            </a:r>
            <a:r>
              <a:rPr lang="en-US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, </a:t>
            </a:r>
            <a:r>
              <a:rPr lang="ko-KR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저장</a:t>
            </a:r>
            <a:r>
              <a:rPr lang="en-US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/</a:t>
            </a:r>
            <a:r>
              <a:rPr lang="ko-KR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동기화 검증</a:t>
            </a:r>
            <a:endParaRPr lang="ko-KR" altLang="ko-KR">
              <a:solidFill>
                <a:schemeClr val="bg1"/>
              </a:solidFill>
              <a:effectLst/>
            </a:endParaRPr>
          </a:p>
          <a:p>
            <a:r>
              <a:rPr lang="ko-KR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작성 기준</a:t>
            </a:r>
            <a:r>
              <a:rPr lang="en-US" altLang="ko-KR" sz="110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	:  </a:t>
            </a:r>
            <a:r>
              <a:rPr lang="ko-KR" altLang="en-US" sz="110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게임 화면 분석과 기능 흐름 추정을 기반으로 작성</a:t>
            </a:r>
            <a:endParaRPr lang="ko-KR" altLang="ko-KR">
              <a:solidFill>
                <a:schemeClr val="bg1"/>
              </a:solidFill>
              <a:effectLst/>
            </a:endParaRPr>
          </a:p>
          <a:p>
            <a:r>
              <a:rPr lang="en-US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TC </a:t>
            </a:r>
            <a:r>
              <a:rPr lang="ko-KR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구성</a:t>
            </a:r>
            <a:r>
              <a:rPr lang="en-US" altLang="ko-KR" sz="110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	:  37</a:t>
            </a:r>
            <a:r>
              <a:rPr lang="ko-KR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개 </a:t>
            </a:r>
            <a:r>
              <a:rPr lang="en-US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TC / 217</a:t>
            </a:r>
            <a:r>
              <a:rPr lang="ko-KR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개 </a:t>
            </a:r>
            <a:r>
              <a:rPr lang="en-US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Step</a:t>
            </a:r>
            <a:endParaRPr lang="ko-KR" altLang="ko-KR">
              <a:solidFill>
                <a:schemeClr val="bg1"/>
              </a:solidFill>
              <a:effectLst/>
            </a:endParaRPr>
          </a:p>
          <a:p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3111FEC7-99E4-4028-A50A-A251C619029F}"/>
              </a:ext>
            </a:extLst>
          </xdr:cNvPr>
          <xdr:cNvSpPr txBox="1"/>
        </xdr:nvSpPr>
        <xdr:spPr>
          <a:xfrm>
            <a:off x="413466" y="2750064"/>
            <a:ext cx="6872458" cy="1336618"/>
          </a:xfrm>
          <a:prstGeom prst="rect">
            <a:avLst/>
          </a:prstGeom>
          <a:noFill/>
          <a:ln w="9525" cmpd="sng">
            <a:solidFill>
              <a:srgbClr val="07F468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400" b="1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[</a:t>
            </a:r>
            <a:r>
              <a:rPr lang="ko-KR" altLang="ko-KR" sz="1400" b="1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테스트 범위</a:t>
            </a:r>
            <a:r>
              <a:rPr lang="en-US" altLang="ko-KR" sz="1400" b="1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]</a:t>
            </a:r>
          </a:p>
          <a:p>
            <a:endParaRPr lang="ko-KR" altLang="ko-KR" sz="1400" b="1">
              <a:solidFill>
                <a:schemeClr val="bg1"/>
              </a:solidFill>
              <a:effectLst/>
            </a:endParaRPr>
          </a:p>
          <a:p>
            <a:r>
              <a:rPr lang="ko-KR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포함 범위</a:t>
            </a:r>
            <a:r>
              <a:rPr lang="en-US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	</a:t>
            </a:r>
            <a:r>
              <a:rPr lang="en-US" altLang="ko-KR" sz="110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:  </a:t>
            </a:r>
            <a:r>
              <a:rPr lang="ko-KR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화면 진입</a:t>
            </a:r>
            <a:r>
              <a:rPr lang="en-US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, </a:t>
            </a:r>
            <a:r>
              <a:rPr lang="ko-KR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선수 배치</a:t>
            </a:r>
            <a:r>
              <a:rPr lang="en-US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/</a:t>
            </a:r>
            <a:r>
              <a:rPr lang="ko-KR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교체</a:t>
            </a:r>
            <a:r>
              <a:rPr lang="en-US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, </a:t>
            </a:r>
            <a:r>
              <a:rPr lang="ko-KR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총 급여</a:t>
            </a:r>
            <a:r>
              <a:rPr lang="en-US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, </a:t>
            </a:r>
            <a:r>
              <a:rPr lang="ko-KR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포지션 제한</a:t>
            </a:r>
            <a:r>
              <a:rPr lang="en-US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, </a:t>
            </a:r>
            <a:r>
              <a:rPr lang="ko-KR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자동 편성</a:t>
            </a:r>
            <a:r>
              <a:rPr lang="en-US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, </a:t>
            </a:r>
            <a:r>
              <a:rPr lang="ko-KR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팀컬러</a:t>
            </a:r>
            <a:r>
              <a:rPr lang="en-US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, </a:t>
            </a:r>
            <a:r>
              <a:rPr lang="ko-KR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저장</a:t>
            </a:r>
            <a:r>
              <a:rPr lang="en-US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/</a:t>
            </a:r>
            <a:r>
              <a:rPr lang="ko-KR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동기화</a:t>
            </a:r>
            <a:r>
              <a:rPr lang="en-US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, UI </a:t>
            </a:r>
            <a:r>
              <a:rPr lang="ko-KR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예외</a:t>
            </a:r>
            <a:endParaRPr lang="ko-KR" altLang="ko-KR">
              <a:solidFill>
                <a:schemeClr val="bg1"/>
              </a:solidFill>
              <a:effectLst/>
            </a:endParaRPr>
          </a:p>
          <a:p>
            <a:r>
              <a:rPr lang="ko-KR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제외 범위</a:t>
            </a:r>
            <a:r>
              <a:rPr lang="en-US" altLang="ko-KR" sz="110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	:  </a:t>
            </a:r>
            <a:r>
              <a:rPr lang="ko-KR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경기 플레이</a:t>
            </a:r>
            <a:r>
              <a:rPr lang="en-US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, </a:t>
            </a:r>
            <a:r>
              <a:rPr lang="ko-KR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이적시장</a:t>
            </a:r>
            <a:r>
              <a:rPr lang="en-US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, </a:t>
            </a:r>
            <a:r>
              <a:rPr lang="ko-KR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강화</a:t>
            </a:r>
            <a:r>
              <a:rPr lang="en-US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/</a:t>
            </a:r>
            <a:r>
              <a:rPr lang="ko-KR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훈련</a:t>
            </a:r>
            <a:r>
              <a:rPr lang="en-US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, </a:t>
            </a:r>
            <a:r>
              <a:rPr lang="ko-KR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성능 테스트</a:t>
            </a:r>
            <a:r>
              <a:rPr lang="en-US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, </a:t>
            </a:r>
            <a:r>
              <a:rPr lang="ko-KR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외부 플랫폼 연동</a:t>
            </a:r>
            <a:endParaRPr lang="ko-KR" altLang="ko-KR">
              <a:solidFill>
                <a:schemeClr val="bg1"/>
              </a:solidFill>
              <a:effectLst/>
            </a:endParaRPr>
          </a:p>
          <a:p>
            <a:endParaRPr lang="ko-KR" altLang="en-US" sz="1100"/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47A8F5BE-1F98-4D19-AFE6-C9AC34FB3391}"/>
              </a:ext>
            </a:extLst>
          </xdr:cNvPr>
          <xdr:cNvSpPr txBox="1"/>
        </xdr:nvSpPr>
        <xdr:spPr>
          <a:xfrm>
            <a:off x="413466" y="4217372"/>
            <a:ext cx="6872458" cy="1199126"/>
          </a:xfrm>
          <a:prstGeom prst="rect">
            <a:avLst/>
          </a:prstGeom>
          <a:noFill/>
          <a:ln w="9525" cmpd="sng">
            <a:solidFill>
              <a:srgbClr val="07F468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400" b="1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[</a:t>
            </a:r>
            <a:r>
              <a:rPr lang="ko-KR" altLang="ko-KR" sz="1400" b="1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검증 관점</a:t>
            </a:r>
            <a:r>
              <a:rPr lang="en-US" altLang="ko-KR" sz="1400" b="1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]</a:t>
            </a:r>
          </a:p>
          <a:p>
            <a:endParaRPr lang="ko-KR" altLang="ko-KR" sz="1400" b="1">
              <a:solidFill>
                <a:schemeClr val="bg1"/>
              </a:solidFill>
              <a:effectLst/>
            </a:endParaRPr>
          </a:p>
          <a:p>
            <a:r>
              <a:rPr lang="ko-KR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검증 유형</a:t>
            </a:r>
            <a:r>
              <a:rPr lang="en-US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	</a:t>
            </a:r>
            <a:r>
              <a:rPr lang="en-US" altLang="ko-KR" sz="110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:  </a:t>
            </a:r>
            <a:r>
              <a:rPr lang="en-US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Positive, Negative, Boundary, Edge, State, Data Integrity, UI Exception</a:t>
            </a:r>
            <a:endParaRPr lang="ko-KR" altLang="ko-KR">
              <a:solidFill>
                <a:schemeClr val="bg1"/>
              </a:solidFill>
              <a:effectLst/>
            </a:endParaRPr>
          </a:p>
          <a:p>
            <a:r>
              <a:rPr lang="ko-KR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선정 기준</a:t>
            </a:r>
            <a:r>
              <a:rPr lang="en-US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	</a:t>
            </a:r>
            <a:r>
              <a:rPr lang="en-US" altLang="ko-KR" sz="110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:  </a:t>
            </a:r>
            <a:r>
              <a:rPr lang="en-US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Critical, High, Medium </a:t>
            </a:r>
            <a:r>
              <a:rPr lang="ko-KR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중심의 리스크 기반 테스트 설계</a:t>
            </a:r>
            <a:endParaRPr lang="ko-KR" altLang="ko-KR">
              <a:solidFill>
                <a:schemeClr val="bg1"/>
              </a:solidFill>
              <a:effectLst/>
            </a:endParaRPr>
          </a:p>
          <a:p>
            <a:endParaRPr lang="en-US" altLang="ko-KR" sz="1100"/>
          </a:p>
          <a:p>
            <a:endParaRPr lang="ko-KR" altLang="en-US" sz="1100"/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4132811F-AFA9-46BA-BC2C-6059AE809E1C}"/>
              </a:ext>
            </a:extLst>
          </xdr:cNvPr>
          <xdr:cNvSpPr txBox="1"/>
        </xdr:nvSpPr>
        <xdr:spPr>
          <a:xfrm>
            <a:off x="413466" y="5547188"/>
            <a:ext cx="6872458" cy="1266703"/>
          </a:xfrm>
          <a:prstGeom prst="rect">
            <a:avLst/>
          </a:prstGeom>
          <a:noFill/>
          <a:ln w="9525" cmpd="sng">
            <a:solidFill>
              <a:srgbClr val="07F468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400" b="1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[</a:t>
            </a:r>
            <a:r>
              <a:rPr lang="ko-KR" altLang="ko-KR" sz="1400" b="1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주요 리스크</a:t>
            </a:r>
            <a:r>
              <a:rPr lang="en-US" altLang="ko-KR" sz="1400" b="1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]</a:t>
            </a:r>
          </a:p>
          <a:p>
            <a:endParaRPr lang="ko-KR" altLang="ko-KR" sz="1400" b="1">
              <a:solidFill>
                <a:schemeClr val="bg1"/>
              </a:solidFill>
              <a:effectLst/>
            </a:endParaRPr>
          </a:p>
          <a:p>
            <a:r>
              <a:rPr lang="ko-KR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핵심 리스크</a:t>
            </a:r>
            <a:r>
              <a:rPr lang="en-US" altLang="ko-KR" sz="110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	</a:t>
            </a:r>
            <a:r>
              <a:rPr lang="en-US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: </a:t>
            </a:r>
            <a:r>
              <a:rPr lang="ko-KR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급여 초과 저장</a:t>
            </a:r>
            <a:r>
              <a:rPr lang="en-US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, </a:t>
            </a:r>
            <a:r>
              <a:rPr lang="ko-KR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선발 인원 부족 저장</a:t>
            </a:r>
            <a:r>
              <a:rPr lang="en-US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, </a:t>
            </a:r>
            <a:r>
              <a:rPr lang="ko-KR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중복 배치</a:t>
            </a:r>
            <a:r>
              <a:rPr lang="en-US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, </a:t>
            </a:r>
            <a:r>
              <a:rPr lang="ko-KR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포지션 제한 무시</a:t>
            </a:r>
            <a:r>
              <a:rPr lang="en-US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, </a:t>
            </a:r>
            <a:r>
              <a:rPr lang="ko-KR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저장 데이터 유실</a:t>
            </a:r>
            <a:r>
              <a:rPr lang="en-US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, </a:t>
            </a:r>
            <a:r>
              <a:rPr lang="ko-KR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스쿼드 간 데이터 오염</a:t>
            </a:r>
            <a:endParaRPr lang="ko-KR" altLang="ko-KR">
              <a:solidFill>
                <a:schemeClr val="bg1"/>
              </a:solidFill>
              <a:effectLst/>
            </a:endParaRPr>
          </a:p>
          <a:p>
            <a:endParaRPr lang="ko-KR" altLang="en-US" sz="1100">
              <a:solidFill>
                <a:schemeClr val="bg1"/>
              </a:solidFill>
            </a:endParaRPr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652EC725-0911-4E7F-9EE7-162E44E9100C}"/>
              </a:ext>
            </a:extLst>
          </xdr:cNvPr>
          <xdr:cNvSpPr txBox="1"/>
        </xdr:nvSpPr>
        <xdr:spPr>
          <a:xfrm>
            <a:off x="413466" y="6944580"/>
            <a:ext cx="6872458" cy="1583100"/>
          </a:xfrm>
          <a:prstGeom prst="rect">
            <a:avLst/>
          </a:prstGeom>
          <a:noFill/>
          <a:ln w="9525" cmpd="sng">
            <a:solidFill>
              <a:srgbClr val="07F468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400" b="1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[</a:t>
            </a:r>
            <a:r>
              <a:rPr lang="ko-KR" altLang="ko-KR" sz="1400" b="1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제약 조건 및 산출물</a:t>
            </a:r>
            <a:r>
              <a:rPr lang="en-US" altLang="ko-KR" sz="1400" b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]</a:t>
            </a:r>
          </a:p>
          <a:p>
            <a:endParaRPr lang="ko-KR" altLang="ko-KR" sz="1400" b="1">
              <a:solidFill>
                <a:schemeClr val="bg1"/>
              </a:solidFill>
              <a:effectLst/>
            </a:endParaRPr>
          </a:p>
          <a:p>
            <a:r>
              <a:rPr lang="ko-KR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제약 조건</a:t>
            </a:r>
            <a:r>
              <a:rPr lang="en-US" altLang="ko-KR" sz="110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	: </a:t>
            </a:r>
            <a:r>
              <a:rPr lang="ko-KR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 테스트 계정</a:t>
            </a:r>
            <a:r>
              <a:rPr lang="en-US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, </a:t>
            </a:r>
            <a:r>
              <a:rPr lang="ko-KR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선수 보유 데이터</a:t>
            </a:r>
            <a:r>
              <a:rPr lang="en-US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, </a:t>
            </a:r>
            <a:r>
              <a:rPr lang="ko-KR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급여</a:t>
            </a:r>
            <a:r>
              <a:rPr lang="en-US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/OVR/</a:t>
            </a:r>
            <a:r>
              <a:rPr lang="ko-KR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팀컬러 조건</a:t>
            </a:r>
            <a:r>
              <a:rPr lang="en-US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, </a:t>
            </a:r>
            <a:r>
              <a:rPr lang="ko-KR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저장 실패 재현 환경 필요</a:t>
            </a:r>
            <a:endParaRPr lang="ko-KR" altLang="ko-KR">
              <a:solidFill>
                <a:schemeClr val="bg1"/>
              </a:solidFill>
              <a:effectLst/>
            </a:endParaRPr>
          </a:p>
          <a:p>
            <a:r>
              <a:rPr lang="ko-KR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산출물</a:t>
            </a:r>
            <a:r>
              <a:rPr lang="en-US" altLang="ko-KR" sz="110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	:  </a:t>
            </a:r>
            <a:r>
              <a:rPr lang="ko-KR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Overview Sheet, Test Case Sheet, Dashboard Sheet</a:t>
            </a:r>
            <a:endParaRPr lang="ko-KR" altLang="ko-KR">
              <a:solidFill>
                <a:schemeClr val="bg1"/>
              </a:solidFill>
              <a:effectLst/>
            </a:endParaRPr>
          </a:p>
          <a:p>
            <a:r>
              <a:rPr lang="ko-KR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비고</a:t>
            </a:r>
            <a:r>
              <a:rPr lang="en-US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	:  </a:t>
            </a:r>
            <a:r>
              <a:rPr lang="ko-KR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결과 집계는 </a:t>
            </a:r>
            <a:r>
              <a:rPr lang="en-US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Dashboard</a:t>
            </a:r>
            <a:r>
              <a:rPr lang="ko-KR" altLang="ko-KR" sz="11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에서 별도 관리</a:t>
            </a:r>
            <a:endParaRPr lang="ko-KR" altLang="ko-KR">
              <a:solidFill>
                <a:schemeClr val="bg1"/>
              </a:solidFill>
              <a:effectLst/>
            </a:endParaRPr>
          </a:p>
          <a:p>
            <a:endParaRPr lang="ko-KR" altLang="en-US" sz="1100">
              <a:solidFill>
                <a:schemeClr val="bg1"/>
              </a:solidFill>
            </a:endParaRPr>
          </a:p>
        </xdr:txBody>
      </xdr:sp>
    </xdr:grpSp>
    <xdr:clientData/>
  </xdr:twoCellAnchor>
  <xdr:twoCellAnchor editAs="oneCell">
    <xdr:from>
      <xdr:col>0</xdr:col>
      <xdr:colOff>129747</xdr:colOff>
      <xdr:row>0</xdr:row>
      <xdr:rowOff>131446</xdr:rowOff>
    </xdr:from>
    <xdr:to>
      <xdr:col>1</xdr:col>
      <xdr:colOff>133477</xdr:colOff>
      <xdr:row>3</xdr:row>
      <xdr:rowOff>72394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6FE71FFB-C10E-D694-8286-2A3068AFE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747" y="131446"/>
          <a:ext cx="597211" cy="5124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190500</xdr:colOff>
      <xdr:row>23</xdr:row>
      <xdr:rowOff>123825</xdr:rowOff>
    </xdr:to>
    <xdr:sp macro="" textlink="">
      <xdr:nvSpPr>
        <xdr:cNvPr id="2064" name="Text Box 16" hidden="1">
          <a:extLst>
            <a:ext uri="{FF2B5EF4-FFF2-40B4-BE49-F238E27FC236}">
              <a16:creationId xmlns:a16="http://schemas.microsoft.com/office/drawing/2014/main" id="{55B81319-5CE5-B5DC-3014-D78A3271F2C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142875</xdr:rowOff>
    </xdr:from>
    <xdr:to>
      <xdr:col>0</xdr:col>
      <xdr:colOff>715620</xdr:colOff>
      <xdr:row>3</xdr:row>
      <xdr:rowOff>83823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A7DE5B1-3512-4623-B5F5-C2ABB61DA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142875"/>
          <a:ext cx="591795" cy="5124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CA14A-EA6C-4801-9311-A4A5B5560FBA}">
  <dimension ref="A1:AK359"/>
  <sheetViews>
    <sheetView zoomScale="115" zoomScaleNormal="115" workbookViewId="0">
      <selection sqref="A1:N4"/>
    </sheetView>
  </sheetViews>
  <sheetFormatPr baseColWidth="10" defaultColWidth="8.83203125" defaultRowHeight="15"/>
  <sheetData>
    <row r="1" spans="1:37" ht="15" customHeight="1">
      <c r="A1" s="116" t="s">
        <v>755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>
      <c r="A2" s="116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</row>
    <row r="3" spans="1:37">
      <c r="A3" s="116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</row>
    <row r="4" spans="1:37">
      <c r="A4" s="116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</row>
    <row r="5" spans="1:37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</row>
    <row r="6" spans="1:37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</row>
    <row r="7" spans="1:3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</row>
    <row r="8" spans="1:37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</row>
    <row r="9" spans="1:37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</row>
    <row r="10" spans="1:37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</row>
    <row r="11" spans="1:37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</row>
    <row r="12" spans="1:37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</row>
    <row r="13" spans="1:37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</row>
    <row r="14" spans="1:37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D14" s="7"/>
      <c r="AE14" s="7"/>
      <c r="AF14" s="7"/>
      <c r="AG14" s="7"/>
      <c r="AH14" s="7"/>
      <c r="AI14" s="7"/>
      <c r="AJ14" s="7"/>
      <c r="AK14" s="7"/>
    </row>
    <row r="15" spans="1:37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</row>
    <row r="16" spans="1:37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</row>
    <row r="17" spans="1:3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</row>
    <row r="18" spans="1:37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</row>
    <row r="19" spans="1:37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</row>
    <row r="20" spans="1:37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</row>
    <row r="21" spans="1:37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</row>
    <row r="22" spans="1:37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</row>
    <row r="23" spans="1:37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</row>
    <row r="24" spans="1:37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</row>
    <row r="25" spans="1:37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</row>
    <row r="26" spans="1:37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</row>
    <row r="27" spans="1:3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</row>
    <row r="28" spans="1:37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</row>
    <row r="29" spans="1:37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</row>
    <row r="30" spans="1:37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</row>
    <row r="31" spans="1:37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</row>
    <row r="32" spans="1:37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</row>
    <row r="33" spans="1:37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</row>
    <row r="34" spans="1:37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</row>
    <row r="35" spans="1:37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</row>
    <row r="36" spans="1:37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</row>
    <row r="37" spans="1: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</row>
    <row r="38" spans="1:37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</row>
    <row r="39" spans="1:37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</row>
    <row r="40" spans="1:37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</row>
    <row r="41" spans="1:37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</row>
    <row r="42" spans="1:37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</row>
    <row r="43" spans="1:37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</row>
    <row r="44" spans="1:37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</row>
    <row r="45" spans="1:37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</row>
    <row r="46" spans="1:37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</row>
    <row r="47" spans="1:3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</row>
    <row r="48" spans="1:37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</row>
    <row r="49" spans="1:37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</row>
    <row r="50" spans="1:37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</row>
    <row r="51" spans="1:37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</row>
    <row r="52" spans="1:37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</row>
    <row r="53" spans="1:37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</row>
    <row r="54" spans="1:37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</row>
    <row r="55" spans="1:37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</row>
    <row r="56" spans="1:37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</row>
    <row r="57" spans="1:3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 spans="1:37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</row>
    <row r="59" spans="1:37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</row>
    <row r="60" spans="1:37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</row>
    <row r="61" spans="1:37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</row>
    <row r="62" spans="1:37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</row>
    <row r="63" spans="1:37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</row>
    <row r="64" spans="1:37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</row>
    <row r="65" spans="1:37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</row>
    <row r="66" spans="1:37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</row>
    <row r="67" spans="1:3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</row>
    <row r="68" spans="1:37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</row>
    <row r="69" spans="1:37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</row>
    <row r="70" spans="1:37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</row>
    <row r="71" spans="1:37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</row>
    <row r="72" spans="1:37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</row>
    <row r="73" spans="1:37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</row>
    <row r="74" spans="1:37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</row>
    <row r="75" spans="1:37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</row>
    <row r="76" spans="1:37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</row>
    <row r="77" spans="1:3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</row>
    <row r="78" spans="1:37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</row>
    <row r="79" spans="1:37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</row>
    <row r="80" spans="1:37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</row>
    <row r="81" spans="1:37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</row>
    <row r="82" spans="1:37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</row>
    <row r="83" spans="1:37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</row>
    <row r="84" spans="1:37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</row>
    <row r="85" spans="1:37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</row>
    <row r="86" spans="1:37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</row>
    <row r="87" spans="1:3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</row>
    <row r="88" spans="1:37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</row>
    <row r="89" spans="1:37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</row>
    <row r="90" spans="1:37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</row>
    <row r="91" spans="1:37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</row>
    <row r="92" spans="1:37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</row>
    <row r="93" spans="1:37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</row>
    <row r="94" spans="1:37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</row>
    <row r="95" spans="1:37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</row>
    <row r="96" spans="1:37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</row>
    <row r="97" spans="1:3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</row>
    <row r="98" spans="1:37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</row>
    <row r="99" spans="1:37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</row>
    <row r="100" spans="1:37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</row>
    <row r="101" spans="1:37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</row>
    <row r="102" spans="1:37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</row>
    <row r="103" spans="1:37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</row>
    <row r="104" spans="1:37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</row>
    <row r="105" spans="1:37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</row>
    <row r="106" spans="1:37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</row>
    <row r="107" spans="1:3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</row>
    <row r="108" spans="1:37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</row>
    <row r="109" spans="1:37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</row>
    <row r="110" spans="1:37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</row>
    <row r="111" spans="1:37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</row>
    <row r="112" spans="1:37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</row>
    <row r="113" spans="1:37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</row>
    <row r="114" spans="1:37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</row>
    <row r="115" spans="1:37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</row>
    <row r="116" spans="1:37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</row>
    <row r="117" spans="1:3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</row>
    <row r="118" spans="1:37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</row>
    <row r="119" spans="1:37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</row>
    <row r="120" spans="1:37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</row>
    <row r="121" spans="1:37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</row>
    <row r="122" spans="1:37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</row>
    <row r="123" spans="1:37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</row>
    <row r="124" spans="1:37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</row>
    <row r="125" spans="1:37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</row>
    <row r="126" spans="1:37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</row>
    <row r="127" spans="1:3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</row>
    <row r="128" spans="1:37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</row>
    <row r="129" spans="1:37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</row>
    <row r="130" spans="1:37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</row>
    <row r="131" spans="1:37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</row>
    <row r="132" spans="1:37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</row>
    <row r="133" spans="1:37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</row>
    <row r="134" spans="1:37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</row>
    <row r="135" spans="1:37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</row>
    <row r="136" spans="1:37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</row>
    <row r="137" spans="1: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</row>
    <row r="138" spans="1:37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</row>
    <row r="139" spans="1:37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</row>
    <row r="140" spans="1:37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</row>
    <row r="141" spans="1:37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</row>
    <row r="142" spans="1:37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</row>
    <row r="143" spans="1:37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</row>
    <row r="144" spans="1:37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</row>
    <row r="145" spans="1:37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</row>
    <row r="146" spans="1:37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</row>
    <row r="147" spans="1:3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</row>
    <row r="148" spans="1:37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</row>
    <row r="149" spans="1:37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</row>
    <row r="150" spans="1:37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</row>
    <row r="151" spans="1:37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</row>
    <row r="152" spans="1:37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</row>
    <row r="153" spans="1:37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</row>
    <row r="154" spans="1:37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</row>
    <row r="155" spans="1:37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</row>
    <row r="156" spans="1:37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</row>
    <row r="157" spans="1:3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</row>
    <row r="158" spans="1:37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</row>
    <row r="159" spans="1:37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</row>
    <row r="160" spans="1:37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</row>
    <row r="161" spans="1:37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</row>
    <row r="162" spans="1:37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</row>
    <row r="163" spans="1:37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</row>
    <row r="164" spans="1:37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</row>
    <row r="165" spans="1:37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</row>
    <row r="166" spans="1:37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</row>
    <row r="167" spans="1:3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</row>
    <row r="168" spans="1:37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</row>
    <row r="169" spans="1:37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</row>
    <row r="170" spans="1:37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</row>
    <row r="171" spans="1:37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</row>
    <row r="172" spans="1:37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</row>
    <row r="173" spans="1:37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</row>
    <row r="174" spans="1:37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</row>
    <row r="175" spans="1:37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</row>
    <row r="176" spans="1:37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</row>
    <row r="177" spans="1:3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</row>
    <row r="178" spans="1:37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</row>
    <row r="179" spans="1:37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</row>
    <row r="180" spans="1:37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</row>
    <row r="181" spans="1:37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</row>
    <row r="182" spans="1:37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</row>
    <row r="183" spans="1:37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</row>
    <row r="184" spans="1:37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</row>
    <row r="185" spans="1:37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</row>
    <row r="186" spans="1:37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</row>
    <row r="187" spans="1:3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</row>
    <row r="188" spans="1:37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</row>
    <row r="189" spans="1:37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</row>
    <row r="190" spans="1:37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</row>
    <row r="191" spans="1:37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</row>
    <row r="192" spans="1:37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</row>
    <row r="193" spans="1:37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</row>
    <row r="194" spans="1:37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</row>
    <row r="195" spans="1:37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</row>
    <row r="196" spans="1:37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</row>
    <row r="197" spans="1:3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</row>
    <row r="198" spans="1:37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</row>
    <row r="199" spans="1:37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</row>
    <row r="200" spans="1:37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</row>
    <row r="201" spans="1:37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</row>
    <row r="202" spans="1:37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</row>
    <row r="203" spans="1:37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</row>
    <row r="204" spans="1:37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</row>
    <row r="205" spans="1:37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</row>
    <row r="206" spans="1:37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</row>
    <row r="207" spans="1:3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</row>
    <row r="208" spans="1:37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</row>
    <row r="209" spans="1:37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</row>
    <row r="210" spans="1:37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</row>
    <row r="211" spans="1:37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</row>
    <row r="212" spans="1:37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</row>
    <row r="213" spans="1:37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</row>
    <row r="214" spans="1:37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</row>
    <row r="215" spans="1:37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</row>
    <row r="216" spans="1:37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</row>
    <row r="217" spans="1:3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</row>
    <row r="218" spans="1:37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</row>
    <row r="219" spans="1:37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</row>
    <row r="220" spans="1:37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</row>
    <row r="221" spans="1:37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</row>
    <row r="222" spans="1:37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</row>
    <row r="223" spans="1:37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</row>
    <row r="224" spans="1:37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</row>
    <row r="225" spans="1:37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</row>
    <row r="226" spans="1:37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</row>
    <row r="227" spans="1:3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</row>
    <row r="228" spans="1:37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</row>
    <row r="229" spans="1:37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</row>
    <row r="230" spans="1:37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</row>
    <row r="231" spans="1:37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</row>
    <row r="232" spans="1:37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</row>
    <row r="233" spans="1:37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</row>
    <row r="234" spans="1:37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</row>
    <row r="235" spans="1:37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</row>
    <row r="236" spans="1:37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</row>
    <row r="237" spans="1: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</row>
    <row r="238" spans="1:37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</row>
    <row r="239" spans="1:37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</row>
    <row r="240" spans="1:37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</row>
    <row r="241" spans="1:37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</row>
    <row r="242" spans="1:37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</row>
    <row r="243" spans="1:37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</row>
    <row r="244" spans="1:37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</row>
    <row r="245" spans="1:37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</row>
    <row r="246" spans="1:37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</row>
    <row r="247" spans="1:3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</row>
    <row r="248" spans="1:37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</row>
    <row r="249" spans="1:37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</row>
    <row r="250" spans="1:37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</row>
    <row r="251" spans="1:37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</row>
    <row r="252" spans="1:37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</row>
    <row r="253" spans="1:37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</row>
    <row r="254" spans="1:37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</row>
    <row r="255" spans="1:37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</row>
    <row r="256" spans="1:37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</row>
    <row r="257" spans="1:3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</row>
    <row r="258" spans="1:37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</row>
    <row r="259" spans="1:37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</row>
    <row r="260" spans="1:37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</row>
    <row r="261" spans="1:37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</row>
    <row r="262" spans="1:37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</row>
    <row r="263" spans="1:37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</row>
    <row r="264" spans="1:37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</row>
    <row r="265" spans="1:37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</row>
    <row r="266" spans="1:37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</row>
    <row r="267" spans="1:3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</row>
    <row r="268" spans="1:37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</row>
    <row r="269" spans="1:37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</row>
    <row r="270" spans="1:37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</row>
    <row r="271" spans="1:37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</row>
    <row r="272" spans="1:37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</row>
    <row r="273" spans="1:37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</row>
    <row r="274" spans="1:37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</row>
    <row r="275" spans="1:37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</row>
    <row r="276" spans="1:37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</row>
    <row r="277" spans="1:3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</row>
    <row r="278" spans="1:37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</row>
    <row r="279" spans="1:37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</row>
    <row r="280" spans="1:37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</row>
    <row r="281" spans="1:37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</row>
    <row r="282" spans="1:37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</row>
    <row r="283" spans="1:37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</row>
    <row r="284" spans="1:37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</row>
    <row r="285" spans="1:37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</row>
    <row r="286" spans="1:37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</row>
    <row r="287" spans="1:3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</row>
    <row r="288" spans="1:37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</row>
    <row r="289" spans="1:37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</row>
    <row r="290" spans="1:37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</row>
    <row r="291" spans="1:37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</row>
    <row r="292" spans="1:37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</row>
    <row r="293" spans="1:37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</row>
    <row r="294" spans="1:37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</row>
    <row r="295" spans="1:37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</row>
    <row r="296" spans="1:37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</row>
    <row r="297" spans="1:3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</row>
    <row r="298" spans="1:37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</row>
    <row r="299" spans="1:37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</row>
    <row r="300" spans="1:37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</row>
    <row r="301" spans="1:37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</row>
    <row r="302" spans="1:37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</row>
    <row r="303" spans="1:37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</row>
    <row r="304" spans="1:37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</row>
    <row r="305" spans="1:37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</row>
    <row r="306" spans="1:37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</row>
    <row r="307" spans="1:3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</row>
    <row r="308" spans="1:37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</row>
    <row r="309" spans="1:37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</row>
    <row r="310" spans="1:37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</row>
    <row r="311" spans="1:37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</row>
    <row r="312" spans="1:37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</row>
    <row r="313" spans="1:37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</row>
    <row r="314" spans="1:37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</row>
    <row r="315" spans="1:37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</row>
    <row r="316" spans="1:37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</row>
    <row r="317" spans="1:3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</row>
    <row r="318" spans="1:37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</row>
    <row r="319" spans="1:37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</row>
    <row r="320" spans="1:37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</row>
    <row r="321" spans="1:37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</row>
    <row r="322" spans="1:37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</row>
    <row r="323" spans="1:37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</row>
    <row r="324" spans="1:37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</row>
    <row r="325" spans="1:37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</row>
    <row r="326" spans="1:37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</row>
    <row r="327" spans="1:3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</row>
    <row r="328" spans="1:37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</row>
    <row r="329" spans="1:37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</row>
    <row r="330" spans="1:37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</row>
    <row r="331" spans="1:37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</row>
    <row r="332" spans="1:37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</row>
    <row r="333" spans="1:37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</row>
    <row r="334" spans="1:37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</row>
    <row r="335" spans="1:37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</row>
    <row r="336" spans="1:37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</row>
    <row r="337" spans="1: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</row>
    <row r="338" spans="1:37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</row>
    <row r="339" spans="1:37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</row>
    <row r="340" spans="1:37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</row>
    <row r="341" spans="1:37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</row>
    <row r="342" spans="1:37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</row>
    <row r="343" spans="1:37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</row>
    <row r="344" spans="1:37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</row>
    <row r="345" spans="1:37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</row>
    <row r="346" spans="1:37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</row>
    <row r="347" spans="1:3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</row>
    <row r="348" spans="1:37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</row>
    <row r="349" spans="1:37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</row>
    <row r="350" spans="1:37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</row>
    <row r="351" spans="1:37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</row>
    <row r="352" spans="1:37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</row>
    <row r="353" spans="1:37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</row>
    <row r="354" spans="1:37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</row>
    <row r="355" spans="1:37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</row>
    <row r="356" spans="1:37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</row>
    <row r="357" spans="1:3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</row>
    <row r="358" spans="1:37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</row>
    <row r="359" spans="1:37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</row>
  </sheetData>
  <mergeCells count="1">
    <mergeCell ref="A1:N4"/>
  </mergeCells>
  <phoneticPr fontId="6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20"/>
  <sheetViews>
    <sheetView showGridLines="0" zoomScale="55" zoomScaleNormal="55" workbookViewId="0">
      <selection activeCell="A4" sqref="A4:A220"/>
    </sheetView>
  </sheetViews>
  <sheetFormatPr baseColWidth="10" defaultColWidth="8.83203125" defaultRowHeight="15"/>
  <cols>
    <col min="1" max="1" width="15.6640625" style="1" bestFit="1" customWidth="1"/>
    <col min="2" max="2" width="12" style="1" customWidth="1"/>
    <col min="3" max="3" width="16.33203125" customWidth="1"/>
    <col min="4" max="4" width="16.1640625" bestFit="1" customWidth="1"/>
    <col min="5" max="5" width="15.6640625" style="1" bestFit="1" customWidth="1"/>
    <col min="6" max="6" width="42.5" customWidth="1"/>
    <col min="7" max="7" width="86.1640625" customWidth="1"/>
    <col min="8" max="8" width="102" customWidth="1"/>
    <col min="9" max="9" width="11" style="1" customWidth="1"/>
    <col min="10" max="10" width="48.5" customWidth="1"/>
    <col min="11" max="11" width="37.5" style="1" customWidth="1"/>
    <col min="12" max="12" width="18" customWidth="1"/>
    <col min="13" max="13" width="52.6640625" style="1" bestFit="1" customWidth="1"/>
    <col min="14" max="14" width="25.33203125" style="1" bestFit="1" customWidth="1"/>
    <col min="15" max="15" width="98.6640625" style="1" bestFit="1" customWidth="1"/>
    <col min="16" max="16" width="14.33203125" bestFit="1" customWidth="1"/>
    <col min="17" max="17" width="65.83203125" customWidth="1"/>
    <col min="18" max="18" width="60.5" bestFit="1" customWidth="1"/>
    <col min="19" max="19" width="87.1640625" bestFit="1" customWidth="1"/>
    <col min="20" max="20" width="94.5" bestFit="1" customWidth="1"/>
  </cols>
  <sheetData>
    <row r="1" spans="1:20" ht="22" customHeight="1">
      <c r="A1" s="56" t="s">
        <v>639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</row>
    <row r="2" spans="1:20" ht="22" customHeight="1">
      <c r="A2" s="120" t="s">
        <v>0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</row>
    <row r="3" spans="1:20" ht="22" customHeight="1">
      <c r="A3" s="40" t="s">
        <v>1</v>
      </c>
      <c r="B3" s="41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17</v>
      </c>
      <c r="M3" s="42" t="s">
        <v>18</v>
      </c>
      <c r="N3" s="8" t="s">
        <v>19</v>
      </c>
      <c r="O3" s="42" t="s">
        <v>20</v>
      </c>
      <c r="P3" s="37" t="s">
        <v>21</v>
      </c>
      <c r="Q3" s="57" t="s">
        <v>754</v>
      </c>
    </row>
    <row r="4" spans="1:20" ht="34" customHeight="1">
      <c r="A4" s="165" t="s">
        <v>752</v>
      </c>
      <c r="B4" s="121" t="s">
        <v>12</v>
      </c>
      <c r="C4" s="121" t="s">
        <v>13</v>
      </c>
      <c r="D4" s="127" t="s">
        <v>30</v>
      </c>
      <c r="E4" s="162" t="s">
        <v>14</v>
      </c>
      <c r="F4" s="124" t="s">
        <v>31</v>
      </c>
      <c r="G4" s="124" t="s">
        <v>136</v>
      </c>
      <c r="H4" s="124" t="s">
        <v>219</v>
      </c>
      <c r="I4" s="162" t="s">
        <v>16</v>
      </c>
      <c r="J4" s="124" t="s">
        <v>137</v>
      </c>
      <c r="K4" s="124" t="s">
        <v>213</v>
      </c>
      <c r="L4" s="9">
        <v>1</v>
      </c>
      <c r="M4" s="10" t="s">
        <v>638</v>
      </c>
      <c r="N4" s="11" t="s">
        <v>247</v>
      </c>
      <c r="O4" s="12" t="s">
        <v>144</v>
      </c>
      <c r="P4" s="38" t="s">
        <v>640</v>
      </c>
      <c r="Q4" s="58"/>
      <c r="S4" s="2"/>
    </row>
    <row r="5" spans="1:20" ht="34" customHeight="1">
      <c r="A5" s="166"/>
      <c r="B5" s="122"/>
      <c r="C5" s="122"/>
      <c r="D5" s="128"/>
      <c r="E5" s="163"/>
      <c r="F5" s="125"/>
      <c r="G5" s="125"/>
      <c r="H5" s="125"/>
      <c r="I5" s="163"/>
      <c r="J5" s="125"/>
      <c r="K5" s="125"/>
      <c r="L5" s="14">
        <v>2</v>
      </c>
      <c r="M5" s="15" t="s">
        <v>248</v>
      </c>
      <c r="N5" s="16" t="s">
        <v>145</v>
      </c>
      <c r="O5" s="17" t="s">
        <v>249</v>
      </c>
      <c r="P5" s="39" t="s">
        <v>640</v>
      </c>
      <c r="Q5" s="59"/>
      <c r="T5" s="2"/>
    </row>
    <row r="6" spans="1:20" ht="34" customHeight="1">
      <c r="A6" s="166"/>
      <c r="B6" s="122"/>
      <c r="C6" s="122"/>
      <c r="D6" s="128"/>
      <c r="E6" s="163"/>
      <c r="F6" s="125"/>
      <c r="G6" s="125"/>
      <c r="H6" s="125"/>
      <c r="I6" s="163"/>
      <c r="J6" s="125"/>
      <c r="K6" s="125"/>
      <c r="L6" s="14">
        <v>3</v>
      </c>
      <c r="M6" s="15" t="s">
        <v>250</v>
      </c>
      <c r="N6" s="16" t="s">
        <v>251</v>
      </c>
      <c r="O6" s="18" t="s">
        <v>543</v>
      </c>
      <c r="P6" s="39" t="s">
        <v>640</v>
      </c>
      <c r="Q6" s="59"/>
    </row>
    <row r="7" spans="1:20" ht="34" customHeight="1">
      <c r="A7" s="166"/>
      <c r="B7" s="122"/>
      <c r="C7" s="122"/>
      <c r="D7" s="128"/>
      <c r="E7" s="163"/>
      <c r="F7" s="125"/>
      <c r="G7" s="125"/>
      <c r="H7" s="125"/>
      <c r="I7" s="163"/>
      <c r="J7" s="125"/>
      <c r="K7" s="125"/>
      <c r="L7" s="14">
        <v>4</v>
      </c>
      <c r="M7" s="15" t="s">
        <v>252</v>
      </c>
      <c r="N7" s="19" t="s">
        <v>24</v>
      </c>
      <c r="O7" s="17" t="s">
        <v>253</v>
      </c>
      <c r="P7" s="39" t="s">
        <v>640</v>
      </c>
      <c r="Q7" s="59"/>
      <c r="S7" s="2"/>
      <c r="T7" s="2"/>
    </row>
    <row r="8" spans="1:20" ht="34" customHeight="1">
      <c r="A8" s="166"/>
      <c r="B8" s="122"/>
      <c r="C8" s="122"/>
      <c r="D8" s="128"/>
      <c r="E8" s="163"/>
      <c r="F8" s="125"/>
      <c r="G8" s="125"/>
      <c r="H8" s="125"/>
      <c r="I8" s="163"/>
      <c r="J8" s="125"/>
      <c r="K8" s="125"/>
      <c r="L8" s="14">
        <v>5</v>
      </c>
      <c r="M8" s="15" t="s">
        <v>254</v>
      </c>
      <c r="N8" s="19" t="s">
        <v>146</v>
      </c>
      <c r="O8" s="17" t="s">
        <v>147</v>
      </c>
      <c r="P8" s="39" t="s">
        <v>640</v>
      </c>
      <c r="Q8" s="59"/>
      <c r="S8" s="2"/>
      <c r="T8" s="2"/>
    </row>
    <row r="9" spans="1:20" ht="34" customHeight="1">
      <c r="A9" s="166"/>
      <c r="B9" s="122"/>
      <c r="C9" s="122"/>
      <c r="D9" s="129"/>
      <c r="E9" s="164"/>
      <c r="F9" s="126"/>
      <c r="G9" s="126"/>
      <c r="H9" s="126"/>
      <c r="I9" s="164"/>
      <c r="J9" s="126"/>
      <c r="K9" s="126"/>
      <c r="L9" s="14">
        <v>6</v>
      </c>
      <c r="M9" s="15" t="s">
        <v>255</v>
      </c>
      <c r="N9" s="19" t="s">
        <v>256</v>
      </c>
      <c r="O9" s="17" t="s">
        <v>257</v>
      </c>
      <c r="P9" s="39" t="s">
        <v>640</v>
      </c>
      <c r="Q9" s="59"/>
      <c r="S9" s="2"/>
      <c r="T9" s="2"/>
    </row>
    <row r="10" spans="1:20" ht="34" customHeight="1">
      <c r="A10" s="166"/>
      <c r="B10" s="122"/>
      <c r="C10" s="122"/>
      <c r="D10" s="127" t="s">
        <v>22</v>
      </c>
      <c r="E10" s="162" t="s">
        <v>756</v>
      </c>
      <c r="F10" s="124" t="s">
        <v>32</v>
      </c>
      <c r="G10" s="124" t="s">
        <v>33</v>
      </c>
      <c r="H10" s="124" t="s">
        <v>220</v>
      </c>
      <c r="I10" s="162" t="s">
        <v>15</v>
      </c>
      <c r="J10" s="124" t="s">
        <v>34</v>
      </c>
      <c r="K10" s="124" t="s">
        <v>35</v>
      </c>
      <c r="L10" s="9">
        <v>1</v>
      </c>
      <c r="M10" s="10" t="s">
        <v>621</v>
      </c>
      <c r="N10" s="11" t="s">
        <v>258</v>
      </c>
      <c r="O10" s="12" t="s">
        <v>148</v>
      </c>
      <c r="P10" s="39" t="s">
        <v>640</v>
      </c>
      <c r="Q10" s="59"/>
      <c r="S10" s="2"/>
    </row>
    <row r="11" spans="1:20" ht="34" customHeight="1">
      <c r="A11" s="166"/>
      <c r="B11" s="122"/>
      <c r="C11" s="122"/>
      <c r="D11" s="128"/>
      <c r="E11" s="163"/>
      <c r="F11" s="125"/>
      <c r="G11" s="125"/>
      <c r="H11" s="125"/>
      <c r="I11" s="163"/>
      <c r="J11" s="125"/>
      <c r="K11" s="125"/>
      <c r="L11" s="14">
        <v>2</v>
      </c>
      <c r="M11" s="15" t="s">
        <v>259</v>
      </c>
      <c r="N11" s="19" t="s">
        <v>149</v>
      </c>
      <c r="O11" s="17" t="s">
        <v>150</v>
      </c>
      <c r="P11" s="39" t="s">
        <v>640</v>
      </c>
      <c r="Q11" s="59"/>
      <c r="S11" s="2"/>
      <c r="T11" s="2"/>
    </row>
    <row r="12" spans="1:20" ht="34" customHeight="1">
      <c r="A12" s="166"/>
      <c r="B12" s="122"/>
      <c r="C12" s="122"/>
      <c r="D12" s="128"/>
      <c r="E12" s="163"/>
      <c r="F12" s="125"/>
      <c r="G12" s="125"/>
      <c r="H12" s="125"/>
      <c r="I12" s="163"/>
      <c r="J12" s="125"/>
      <c r="K12" s="125"/>
      <c r="L12" s="14">
        <v>3</v>
      </c>
      <c r="M12" s="15" t="s">
        <v>260</v>
      </c>
      <c r="N12" s="19" t="s">
        <v>261</v>
      </c>
      <c r="O12" s="17" t="s">
        <v>262</v>
      </c>
      <c r="P12" s="39" t="s">
        <v>640</v>
      </c>
      <c r="Q12" s="59"/>
      <c r="S12" s="2"/>
      <c r="T12" s="2"/>
    </row>
    <row r="13" spans="1:20" ht="34" customHeight="1">
      <c r="A13" s="166"/>
      <c r="B13" s="122"/>
      <c r="C13" s="122"/>
      <c r="D13" s="128"/>
      <c r="E13" s="163"/>
      <c r="F13" s="125"/>
      <c r="G13" s="125"/>
      <c r="H13" s="125"/>
      <c r="I13" s="163"/>
      <c r="J13" s="125"/>
      <c r="K13" s="125"/>
      <c r="L13" s="14">
        <v>4</v>
      </c>
      <c r="M13" s="15" t="s">
        <v>263</v>
      </c>
      <c r="N13" s="19" t="s">
        <v>264</v>
      </c>
      <c r="O13" s="17" t="s">
        <v>265</v>
      </c>
      <c r="P13" s="39" t="s">
        <v>640</v>
      </c>
      <c r="Q13" s="59"/>
      <c r="S13" s="2"/>
      <c r="T13" s="2"/>
    </row>
    <row r="14" spans="1:20" ht="34" customHeight="1">
      <c r="A14" s="166"/>
      <c r="B14" s="122"/>
      <c r="C14" s="122"/>
      <c r="D14" s="128"/>
      <c r="E14" s="163"/>
      <c r="F14" s="125"/>
      <c r="G14" s="125"/>
      <c r="H14" s="125"/>
      <c r="I14" s="163"/>
      <c r="J14" s="125"/>
      <c r="K14" s="125"/>
      <c r="L14" s="14">
        <v>5</v>
      </c>
      <c r="M14" s="15" t="s">
        <v>266</v>
      </c>
      <c r="N14" s="19" t="s">
        <v>151</v>
      </c>
      <c r="O14" s="23" t="s">
        <v>267</v>
      </c>
      <c r="P14" s="39" t="s">
        <v>640</v>
      </c>
      <c r="Q14" s="59"/>
      <c r="S14" s="2"/>
    </row>
    <row r="15" spans="1:20" ht="34" customHeight="1">
      <c r="A15" s="166"/>
      <c r="B15" s="122"/>
      <c r="C15" s="122"/>
      <c r="D15" s="128"/>
      <c r="E15" s="163"/>
      <c r="F15" s="125"/>
      <c r="G15" s="125"/>
      <c r="H15" s="125"/>
      <c r="I15" s="163"/>
      <c r="J15" s="125"/>
      <c r="K15" s="125"/>
      <c r="L15" s="14">
        <v>6</v>
      </c>
      <c r="M15" s="15" t="s">
        <v>268</v>
      </c>
      <c r="N15" s="19" t="s">
        <v>269</v>
      </c>
      <c r="O15" s="17" t="s">
        <v>270</v>
      </c>
      <c r="P15" s="39" t="s">
        <v>640</v>
      </c>
      <c r="Q15" s="59"/>
      <c r="S15" s="2"/>
      <c r="T15" s="2"/>
    </row>
    <row r="16" spans="1:20" ht="34" customHeight="1">
      <c r="A16" s="166"/>
      <c r="B16" s="122"/>
      <c r="C16" s="122"/>
      <c r="D16" s="129"/>
      <c r="E16" s="164"/>
      <c r="F16" s="126"/>
      <c r="G16" s="126"/>
      <c r="H16" s="126"/>
      <c r="I16" s="164"/>
      <c r="J16" s="126"/>
      <c r="K16" s="126"/>
      <c r="L16" s="21">
        <v>7</v>
      </c>
      <c r="M16" s="22" t="s">
        <v>271</v>
      </c>
      <c r="N16" s="4" t="s">
        <v>272</v>
      </c>
      <c r="O16" s="6" t="s">
        <v>273</v>
      </c>
      <c r="P16" s="39" t="s">
        <v>640</v>
      </c>
      <c r="Q16" s="59"/>
      <c r="S16" s="2"/>
      <c r="T16" s="2"/>
    </row>
    <row r="17" spans="1:20" ht="34" customHeight="1">
      <c r="A17" s="166"/>
      <c r="B17" s="122"/>
      <c r="C17" s="122"/>
      <c r="D17" s="127" t="s">
        <v>36</v>
      </c>
      <c r="E17" s="162" t="s">
        <v>757</v>
      </c>
      <c r="F17" s="124" t="s">
        <v>37</v>
      </c>
      <c r="G17" s="124" t="s">
        <v>38</v>
      </c>
      <c r="H17" s="124" t="s">
        <v>221</v>
      </c>
      <c r="I17" s="162" t="s">
        <v>15</v>
      </c>
      <c r="J17" s="124" t="s">
        <v>39</v>
      </c>
      <c r="K17" s="124" t="s">
        <v>40</v>
      </c>
      <c r="L17" s="43">
        <v>1</v>
      </c>
      <c r="M17" s="19" t="s">
        <v>622</v>
      </c>
      <c r="N17" s="15" t="s">
        <v>274</v>
      </c>
      <c r="O17" s="17" t="s">
        <v>275</v>
      </c>
      <c r="P17" s="39" t="s">
        <v>640</v>
      </c>
      <c r="Q17" s="60"/>
      <c r="S17" s="2"/>
    </row>
    <row r="18" spans="1:20" ht="34" customHeight="1">
      <c r="A18" s="166"/>
      <c r="B18" s="122"/>
      <c r="C18" s="122"/>
      <c r="D18" s="128"/>
      <c r="E18" s="163"/>
      <c r="F18" s="125"/>
      <c r="G18" s="125"/>
      <c r="H18" s="125"/>
      <c r="I18" s="163"/>
      <c r="J18" s="125"/>
      <c r="K18" s="125"/>
      <c r="L18" s="14">
        <v>2</v>
      </c>
      <c r="M18" s="15" t="s">
        <v>276</v>
      </c>
      <c r="N18" s="16" t="s">
        <v>274</v>
      </c>
      <c r="O18" s="17" t="s">
        <v>152</v>
      </c>
      <c r="P18" s="39" t="s">
        <v>640</v>
      </c>
      <c r="Q18" s="59"/>
      <c r="T18" s="2"/>
    </row>
    <row r="19" spans="1:20" ht="34" customHeight="1">
      <c r="A19" s="166"/>
      <c r="B19" s="122"/>
      <c r="C19" s="122"/>
      <c r="D19" s="128"/>
      <c r="E19" s="163"/>
      <c r="F19" s="125"/>
      <c r="G19" s="125"/>
      <c r="H19" s="125"/>
      <c r="I19" s="163"/>
      <c r="J19" s="125"/>
      <c r="K19" s="125"/>
      <c r="L19" s="14">
        <v>3</v>
      </c>
      <c r="M19" s="15" t="s">
        <v>277</v>
      </c>
      <c r="N19" s="19" t="s">
        <v>278</v>
      </c>
      <c r="O19" s="17" t="s">
        <v>279</v>
      </c>
      <c r="P19" s="39" t="s">
        <v>640</v>
      </c>
      <c r="Q19" s="59"/>
      <c r="S19" s="2"/>
      <c r="T19" s="2"/>
    </row>
    <row r="20" spans="1:20" ht="34" customHeight="1">
      <c r="A20" s="166"/>
      <c r="B20" s="122"/>
      <c r="C20" s="122"/>
      <c r="D20" s="128"/>
      <c r="E20" s="163"/>
      <c r="F20" s="125"/>
      <c r="G20" s="125"/>
      <c r="H20" s="125"/>
      <c r="I20" s="163"/>
      <c r="J20" s="125"/>
      <c r="K20" s="125"/>
      <c r="L20" s="14">
        <v>4</v>
      </c>
      <c r="M20" s="15" t="s">
        <v>280</v>
      </c>
      <c r="N20" s="19" t="s">
        <v>153</v>
      </c>
      <c r="O20" s="17" t="s">
        <v>281</v>
      </c>
      <c r="P20" s="39" t="s">
        <v>640</v>
      </c>
      <c r="Q20" s="59"/>
      <c r="S20" s="2"/>
      <c r="T20" s="2"/>
    </row>
    <row r="21" spans="1:20" ht="34" customHeight="1">
      <c r="A21" s="166"/>
      <c r="B21" s="122"/>
      <c r="C21" s="122"/>
      <c r="D21" s="128"/>
      <c r="E21" s="163"/>
      <c r="F21" s="125"/>
      <c r="G21" s="125"/>
      <c r="H21" s="125"/>
      <c r="I21" s="163"/>
      <c r="J21" s="125"/>
      <c r="K21" s="125"/>
      <c r="L21" s="14">
        <v>5</v>
      </c>
      <c r="M21" s="15" t="s">
        <v>282</v>
      </c>
      <c r="N21" s="19" t="s">
        <v>154</v>
      </c>
      <c r="O21" s="17" t="s">
        <v>283</v>
      </c>
      <c r="P21" s="39" t="s">
        <v>640</v>
      </c>
      <c r="Q21" s="59"/>
      <c r="S21" s="2"/>
      <c r="T21" s="2"/>
    </row>
    <row r="22" spans="1:20" ht="34" customHeight="1">
      <c r="A22" s="166"/>
      <c r="B22" s="122"/>
      <c r="C22" s="122"/>
      <c r="D22" s="128"/>
      <c r="E22" s="163"/>
      <c r="F22" s="125"/>
      <c r="G22" s="125"/>
      <c r="H22" s="125"/>
      <c r="I22" s="163"/>
      <c r="J22" s="125"/>
      <c r="K22" s="125"/>
      <c r="L22" s="14">
        <v>6</v>
      </c>
      <c r="M22" s="15" t="s">
        <v>284</v>
      </c>
      <c r="N22" s="19" t="s">
        <v>285</v>
      </c>
      <c r="O22" s="17" t="s">
        <v>286</v>
      </c>
      <c r="P22" s="39" t="s">
        <v>640</v>
      </c>
      <c r="Q22" s="59"/>
      <c r="S22" s="2"/>
      <c r="T22" s="2"/>
    </row>
    <row r="23" spans="1:20" ht="34" customHeight="1">
      <c r="A23" s="166"/>
      <c r="B23" s="122"/>
      <c r="C23" s="122"/>
      <c r="D23" s="129"/>
      <c r="E23" s="164"/>
      <c r="F23" s="126"/>
      <c r="G23" s="126"/>
      <c r="H23" s="126"/>
      <c r="I23" s="164"/>
      <c r="J23" s="126"/>
      <c r="K23" s="126"/>
      <c r="L23" s="14">
        <v>7</v>
      </c>
      <c r="M23" s="15" t="s">
        <v>287</v>
      </c>
      <c r="N23" s="19" t="s">
        <v>288</v>
      </c>
      <c r="O23" s="17" t="s">
        <v>289</v>
      </c>
      <c r="P23" s="39" t="s">
        <v>640</v>
      </c>
      <c r="Q23" s="59"/>
      <c r="S23" s="2"/>
      <c r="T23" s="2"/>
    </row>
    <row r="24" spans="1:20" ht="34" customHeight="1">
      <c r="A24" s="166"/>
      <c r="B24" s="122"/>
      <c r="C24" s="122"/>
      <c r="D24" s="127" t="s">
        <v>42</v>
      </c>
      <c r="E24" s="162" t="s">
        <v>758</v>
      </c>
      <c r="F24" s="124" t="s">
        <v>138</v>
      </c>
      <c r="G24" s="124" t="s">
        <v>139</v>
      </c>
      <c r="H24" s="124" t="s">
        <v>222</v>
      </c>
      <c r="I24" s="162" t="s">
        <v>16</v>
      </c>
      <c r="J24" s="124" t="s">
        <v>140</v>
      </c>
      <c r="K24" s="124" t="s">
        <v>214</v>
      </c>
      <c r="L24" s="9">
        <v>1</v>
      </c>
      <c r="M24" s="10" t="s">
        <v>623</v>
      </c>
      <c r="N24" s="11" t="s">
        <v>290</v>
      </c>
      <c r="O24" s="12" t="s">
        <v>291</v>
      </c>
      <c r="P24" s="39" t="s">
        <v>640</v>
      </c>
      <c r="Q24" s="60"/>
      <c r="S24" s="2"/>
    </row>
    <row r="25" spans="1:20" ht="34" customHeight="1">
      <c r="A25" s="166"/>
      <c r="B25" s="122"/>
      <c r="C25" s="122"/>
      <c r="D25" s="128"/>
      <c r="E25" s="163"/>
      <c r="F25" s="125"/>
      <c r="G25" s="125"/>
      <c r="H25" s="125"/>
      <c r="I25" s="163"/>
      <c r="J25" s="125"/>
      <c r="K25" s="125"/>
      <c r="L25" s="14">
        <v>2</v>
      </c>
      <c r="M25" s="15" t="s">
        <v>292</v>
      </c>
      <c r="N25" s="24" t="s">
        <v>293</v>
      </c>
      <c r="O25" s="17" t="s">
        <v>155</v>
      </c>
      <c r="P25" s="39" t="s">
        <v>640</v>
      </c>
      <c r="Q25" s="59"/>
      <c r="T25" s="2"/>
    </row>
    <row r="26" spans="1:20" ht="34" customHeight="1">
      <c r="A26" s="166"/>
      <c r="B26" s="122"/>
      <c r="C26" s="122"/>
      <c r="D26" s="128"/>
      <c r="E26" s="163"/>
      <c r="F26" s="125"/>
      <c r="G26" s="125"/>
      <c r="H26" s="125"/>
      <c r="I26" s="163"/>
      <c r="J26" s="125"/>
      <c r="K26" s="125"/>
      <c r="L26" s="14">
        <v>3</v>
      </c>
      <c r="M26" s="25" t="s">
        <v>294</v>
      </c>
      <c r="N26" s="24" t="s">
        <v>544</v>
      </c>
      <c r="O26" s="26" t="s">
        <v>545</v>
      </c>
      <c r="P26" s="39" t="s">
        <v>640</v>
      </c>
      <c r="Q26" s="60"/>
    </row>
    <row r="27" spans="1:20" ht="34" customHeight="1">
      <c r="A27" s="166"/>
      <c r="B27" s="122"/>
      <c r="C27" s="122"/>
      <c r="D27" s="128"/>
      <c r="E27" s="163"/>
      <c r="F27" s="125"/>
      <c r="G27" s="125"/>
      <c r="H27" s="125"/>
      <c r="I27" s="163"/>
      <c r="J27" s="125"/>
      <c r="K27" s="125"/>
      <c r="L27" s="14">
        <v>4</v>
      </c>
      <c r="M27" s="15" t="s">
        <v>295</v>
      </c>
      <c r="N27" s="24" t="s">
        <v>546</v>
      </c>
      <c r="O27" s="26" t="s">
        <v>547</v>
      </c>
      <c r="P27" s="39" t="s">
        <v>640</v>
      </c>
      <c r="Q27" s="59"/>
    </row>
    <row r="28" spans="1:20" ht="34" customHeight="1">
      <c r="A28" s="166"/>
      <c r="B28" s="122"/>
      <c r="C28" s="122"/>
      <c r="D28" s="128"/>
      <c r="E28" s="163"/>
      <c r="F28" s="125"/>
      <c r="G28" s="125"/>
      <c r="H28" s="125"/>
      <c r="I28" s="163"/>
      <c r="J28" s="125"/>
      <c r="K28" s="125"/>
      <c r="L28" s="14">
        <v>5</v>
      </c>
      <c r="M28" s="15" t="s">
        <v>296</v>
      </c>
      <c r="N28" s="19" t="s">
        <v>156</v>
      </c>
      <c r="O28" s="17" t="s">
        <v>157</v>
      </c>
      <c r="P28" s="39" t="s">
        <v>640</v>
      </c>
      <c r="Q28" s="59"/>
      <c r="S28" s="2"/>
      <c r="T28" s="2"/>
    </row>
    <row r="29" spans="1:20" ht="34" customHeight="1">
      <c r="A29" s="166"/>
      <c r="B29" s="122"/>
      <c r="C29" s="122"/>
      <c r="D29" s="129"/>
      <c r="E29" s="164"/>
      <c r="F29" s="126"/>
      <c r="G29" s="126"/>
      <c r="H29" s="126"/>
      <c r="I29" s="164"/>
      <c r="J29" s="126"/>
      <c r="K29" s="126"/>
      <c r="L29" s="21">
        <v>6</v>
      </c>
      <c r="M29" s="22" t="s">
        <v>297</v>
      </c>
      <c r="N29" s="27" t="s">
        <v>293</v>
      </c>
      <c r="O29" s="28" t="s">
        <v>548</v>
      </c>
      <c r="P29" s="39" t="s">
        <v>640</v>
      </c>
      <c r="Q29" s="59"/>
    </row>
    <row r="30" spans="1:20" ht="34" customHeight="1">
      <c r="A30" s="166"/>
      <c r="B30" s="122"/>
      <c r="C30" s="122"/>
      <c r="D30" s="127" t="s">
        <v>43</v>
      </c>
      <c r="E30" s="162" t="s">
        <v>759</v>
      </c>
      <c r="F30" s="124" t="s">
        <v>44</v>
      </c>
      <c r="G30" s="124" t="s">
        <v>45</v>
      </c>
      <c r="H30" s="124" t="s">
        <v>223</v>
      </c>
      <c r="I30" s="162" t="s">
        <v>15</v>
      </c>
      <c r="J30" s="162" t="s">
        <v>46</v>
      </c>
      <c r="K30" s="124" t="s">
        <v>215</v>
      </c>
      <c r="L30" s="43">
        <v>1</v>
      </c>
      <c r="M30" s="16" t="s">
        <v>624</v>
      </c>
      <c r="N30" s="25" t="s">
        <v>298</v>
      </c>
      <c r="O30" s="17" t="s">
        <v>158</v>
      </c>
      <c r="P30" s="39" t="s">
        <v>640</v>
      </c>
      <c r="Q30" s="60"/>
      <c r="S30" s="2"/>
    </row>
    <row r="31" spans="1:20" ht="34" customHeight="1">
      <c r="A31" s="166"/>
      <c r="B31" s="122"/>
      <c r="C31" s="122"/>
      <c r="D31" s="128"/>
      <c r="E31" s="163"/>
      <c r="F31" s="125"/>
      <c r="G31" s="125"/>
      <c r="H31" s="125"/>
      <c r="I31" s="163"/>
      <c r="J31" s="163"/>
      <c r="K31" s="125"/>
      <c r="L31" s="14">
        <v>2</v>
      </c>
      <c r="M31" s="25" t="s">
        <v>299</v>
      </c>
      <c r="N31" s="24" t="s">
        <v>549</v>
      </c>
      <c r="O31" s="26" t="s">
        <v>550</v>
      </c>
      <c r="P31" s="39" t="s">
        <v>640</v>
      </c>
      <c r="Q31" s="60"/>
    </row>
    <row r="32" spans="1:20" ht="34" customHeight="1">
      <c r="A32" s="166"/>
      <c r="B32" s="122"/>
      <c r="C32" s="122"/>
      <c r="D32" s="128"/>
      <c r="E32" s="163"/>
      <c r="F32" s="125"/>
      <c r="G32" s="125"/>
      <c r="H32" s="125"/>
      <c r="I32" s="163"/>
      <c r="J32" s="163"/>
      <c r="K32" s="125"/>
      <c r="L32" s="13">
        <v>3</v>
      </c>
      <c r="M32" s="25" t="s">
        <v>300</v>
      </c>
      <c r="N32" s="16" t="s">
        <v>551</v>
      </c>
      <c r="O32" s="18" t="s">
        <v>552</v>
      </c>
      <c r="P32" s="39" t="s">
        <v>641</v>
      </c>
      <c r="Q32" s="60"/>
    </row>
    <row r="33" spans="1:20" ht="34" customHeight="1">
      <c r="A33" s="166"/>
      <c r="B33" s="122"/>
      <c r="C33" s="122"/>
      <c r="D33" s="128"/>
      <c r="E33" s="163"/>
      <c r="F33" s="125"/>
      <c r="G33" s="125"/>
      <c r="H33" s="125"/>
      <c r="I33" s="163"/>
      <c r="J33" s="163"/>
      <c r="K33" s="125"/>
      <c r="L33" s="13">
        <v>4</v>
      </c>
      <c r="M33" s="15" t="s">
        <v>301</v>
      </c>
      <c r="N33" s="19" t="s">
        <v>159</v>
      </c>
      <c r="O33" s="17" t="s">
        <v>302</v>
      </c>
      <c r="P33" s="39" t="s">
        <v>640</v>
      </c>
      <c r="Q33" s="59"/>
      <c r="S33" s="2"/>
      <c r="T33" s="2"/>
    </row>
    <row r="34" spans="1:20" ht="34" customHeight="1">
      <c r="A34" s="166"/>
      <c r="B34" s="122"/>
      <c r="C34" s="122"/>
      <c r="D34" s="128"/>
      <c r="E34" s="163"/>
      <c r="F34" s="125"/>
      <c r="G34" s="125"/>
      <c r="H34" s="125"/>
      <c r="I34" s="163"/>
      <c r="J34" s="163"/>
      <c r="K34" s="125"/>
      <c r="L34" s="13">
        <v>5</v>
      </c>
      <c r="M34" s="25" t="s">
        <v>303</v>
      </c>
      <c r="N34" s="16" t="s">
        <v>553</v>
      </c>
      <c r="O34" s="17" t="s">
        <v>304</v>
      </c>
      <c r="P34" s="39" t="s">
        <v>640</v>
      </c>
      <c r="Q34" s="60"/>
      <c r="T34" s="2"/>
    </row>
    <row r="35" spans="1:20" ht="34" customHeight="1">
      <c r="A35" s="166"/>
      <c r="B35" s="122"/>
      <c r="C35" s="122"/>
      <c r="D35" s="129"/>
      <c r="E35" s="164"/>
      <c r="F35" s="126"/>
      <c r="G35" s="126"/>
      <c r="H35" s="126"/>
      <c r="I35" s="164"/>
      <c r="J35" s="164"/>
      <c r="K35" s="126"/>
      <c r="L35" s="13">
        <v>6</v>
      </c>
      <c r="M35" s="25" t="s">
        <v>305</v>
      </c>
      <c r="N35" s="16" t="s">
        <v>306</v>
      </c>
      <c r="O35" s="18" t="s">
        <v>554</v>
      </c>
      <c r="P35" s="39" t="s">
        <v>640</v>
      </c>
      <c r="Q35" s="60"/>
    </row>
    <row r="36" spans="1:20" ht="34" customHeight="1">
      <c r="A36" s="166"/>
      <c r="B36" s="122"/>
      <c r="C36" s="122"/>
      <c r="D36" s="127" t="s">
        <v>26</v>
      </c>
      <c r="E36" s="124" t="s">
        <v>760</v>
      </c>
      <c r="F36" s="124" t="s">
        <v>47</v>
      </c>
      <c r="G36" s="124" t="s">
        <v>48</v>
      </c>
      <c r="H36" s="124" t="s">
        <v>224</v>
      </c>
      <c r="I36" s="162" t="s">
        <v>15</v>
      </c>
      <c r="J36" s="124" t="s">
        <v>49</v>
      </c>
      <c r="K36" s="124" t="s">
        <v>141</v>
      </c>
      <c r="L36" s="9">
        <v>1</v>
      </c>
      <c r="M36" s="11" t="s">
        <v>307</v>
      </c>
      <c r="N36" s="11" t="s">
        <v>25</v>
      </c>
      <c r="O36" s="12" t="s">
        <v>308</v>
      </c>
      <c r="P36" s="39" t="s">
        <v>640</v>
      </c>
      <c r="Q36" s="59"/>
      <c r="S36" s="2"/>
    </row>
    <row r="37" spans="1:20" ht="34" customHeight="1">
      <c r="A37" s="166"/>
      <c r="B37" s="122"/>
      <c r="C37" s="122"/>
      <c r="D37" s="128"/>
      <c r="E37" s="125"/>
      <c r="F37" s="125"/>
      <c r="G37" s="125"/>
      <c r="H37" s="125"/>
      <c r="I37" s="163"/>
      <c r="J37" s="125"/>
      <c r="K37" s="125"/>
      <c r="L37" s="13">
        <v>2</v>
      </c>
      <c r="M37" s="15" t="s">
        <v>309</v>
      </c>
      <c r="N37" s="16" t="s">
        <v>555</v>
      </c>
      <c r="O37" s="18" t="s">
        <v>556</v>
      </c>
      <c r="P37" s="39" t="s">
        <v>640</v>
      </c>
      <c r="Q37" s="59"/>
    </row>
    <row r="38" spans="1:20" ht="34" customHeight="1">
      <c r="A38" s="166"/>
      <c r="B38" s="122"/>
      <c r="C38" s="122"/>
      <c r="D38" s="128"/>
      <c r="E38" s="125"/>
      <c r="F38" s="125"/>
      <c r="G38" s="125"/>
      <c r="H38" s="125"/>
      <c r="I38" s="163"/>
      <c r="J38" s="125"/>
      <c r="K38" s="125"/>
      <c r="L38" s="13">
        <v>3</v>
      </c>
      <c r="M38" s="15" t="s">
        <v>310</v>
      </c>
      <c r="N38" s="16" t="s">
        <v>557</v>
      </c>
      <c r="O38" s="17" t="s">
        <v>311</v>
      </c>
      <c r="P38" s="39" t="s">
        <v>640</v>
      </c>
      <c r="Q38" s="59"/>
      <c r="T38" s="2"/>
    </row>
    <row r="39" spans="1:20" ht="34" customHeight="1">
      <c r="A39" s="166"/>
      <c r="B39" s="122"/>
      <c r="C39" s="122"/>
      <c r="D39" s="128"/>
      <c r="E39" s="125"/>
      <c r="F39" s="125"/>
      <c r="G39" s="125"/>
      <c r="H39" s="125"/>
      <c r="I39" s="163"/>
      <c r="J39" s="125"/>
      <c r="K39" s="125"/>
      <c r="L39" s="13">
        <v>4</v>
      </c>
      <c r="M39" s="15" t="s">
        <v>312</v>
      </c>
      <c r="N39" s="16" t="s">
        <v>558</v>
      </c>
      <c r="O39" s="17" t="s">
        <v>313</v>
      </c>
      <c r="P39" s="39" t="s">
        <v>640</v>
      </c>
      <c r="Q39" s="59"/>
      <c r="T39" s="2"/>
    </row>
    <row r="40" spans="1:20" ht="34" customHeight="1">
      <c r="A40" s="166"/>
      <c r="B40" s="122"/>
      <c r="C40" s="122"/>
      <c r="D40" s="128"/>
      <c r="E40" s="125"/>
      <c r="F40" s="125"/>
      <c r="G40" s="125"/>
      <c r="H40" s="125"/>
      <c r="I40" s="163"/>
      <c r="J40" s="125"/>
      <c r="K40" s="125"/>
      <c r="L40" s="13">
        <v>5</v>
      </c>
      <c r="M40" s="15" t="s">
        <v>314</v>
      </c>
      <c r="N40" s="19" t="s">
        <v>315</v>
      </c>
      <c r="O40" s="17" t="s">
        <v>316</v>
      </c>
      <c r="P40" s="39" t="s">
        <v>640</v>
      </c>
      <c r="Q40" s="59"/>
      <c r="S40" s="2"/>
      <c r="T40" s="2"/>
    </row>
    <row r="41" spans="1:20" ht="34" customHeight="1">
      <c r="A41" s="166"/>
      <c r="B41" s="122"/>
      <c r="C41" s="122"/>
      <c r="D41" s="128"/>
      <c r="E41" s="125"/>
      <c r="F41" s="125"/>
      <c r="G41" s="125"/>
      <c r="H41" s="125"/>
      <c r="I41" s="163"/>
      <c r="J41" s="125"/>
      <c r="K41" s="125"/>
      <c r="L41" s="13">
        <v>6</v>
      </c>
      <c r="M41" s="15" t="s">
        <v>317</v>
      </c>
      <c r="N41" s="16" t="s">
        <v>160</v>
      </c>
      <c r="O41" s="17" t="s">
        <v>161</v>
      </c>
      <c r="P41" s="39" t="s">
        <v>640</v>
      </c>
      <c r="Q41" s="59"/>
      <c r="T41" s="2"/>
    </row>
    <row r="42" spans="1:20" ht="34" customHeight="1">
      <c r="A42" s="166"/>
      <c r="B42" s="122"/>
      <c r="C42" s="122"/>
      <c r="D42" s="128"/>
      <c r="E42" s="125"/>
      <c r="F42" s="125"/>
      <c r="G42" s="125"/>
      <c r="H42" s="125"/>
      <c r="I42" s="163"/>
      <c r="J42" s="125"/>
      <c r="K42" s="125"/>
      <c r="L42" s="13">
        <v>7</v>
      </c>
      <c r="M42" s="15" t="s">
        <v>318</v>
      </c>
      <c r="N42" s="19" t="s">
        <v>319</v>
      </c>
      <c r="O42" s="17" t="s">
        <v>320</v>
      </c>
      <c r="P42" s="39" t="s">
        <v>640</v>
      </c>
      <c r="Q42" s="59"/>
      <c r="S42" s="2"/>
      <c r="T42" s="2"/>
    </row>
    <row r="43" spans="1:20" ht="34" customHeight="1">
      <c r="A43" s="166"/>
      <c r="B43" s="122"/>
      <c r="C43" s="122"/>
      <c r="D43" s="128"/>
      <c r="E43" s="125"/>
      <c r="F43" s="125"/>
      <c r="G43" s="125"/>
      <c r="H43" s="125"/>
      <c r="I43" s="163"/>
      <c r="J43" s="125"/>
      <c r="K43" s="125"/>
      <c r="L43" s="13">
        <v>8</v>
      </c>
      <c r="M43" s="15" t="s">
        <v>321</v>
      </c>
      <c r="N43" s="19" t="s">
        <v>322</v>
      </c>
      <c r="O43" s="17" t="s">
        <v>323</v>
      </c>
      <c r="P43" s="39" t="s">
        <v>640</v>
      </c>
      <c r="Q43" s="59"/>
      <c r="S43" s="2"/>
      <c r="T43" s="2"/>
    </row>
    <row r="44" spans="1:20" ht="34" customHeight="1">
      <c r="A44" s="166"/>
      <c r="B44" s="122"/>
      <c r="C44" s="122"/>
      <c r="D44" s="128"/>
      <c r="E44" s="125"/>
      <c r="F44" s="125"/>
      <c r="G44" s="125"/>
      <c r="H44" s="125"/>
      <c r="I44" s="163"/>
      <c r="J44" s="125"/>
      <c r="K44" s="125"/>
      <c r="L44" s="13">
        <v>9</v>
      </c>
      <c r="M44" s="25" t="s">
        <v>324</v>
      </c>
      <c r="N44" s="16" t="s">
        <v>559</v>
      </c>
      <c r="O44" s="17" t="s">
        <v>325</v>
      </c>
      <c r="P44" s="39" t="s">
        <v>640</v>
      </c>
      <c r="Q44" s="60"/>
      <c r="T44" s="2"/>
    </row>
    <row r="45" spans="1:20" ht="34" customHeight="1">
      <c r="A45" s="166"/>
      <c r="B45" s="122"/>
      <c r="C45" s="122"/>
      <c r="D45" s="128"/>
      <c r="E45" s="125"/>
      <c r="F45" s="125"/>
      <c r="G45" s="125"/>
      <c r="H45" s="125"/>
      <c r="I45" s="163"/>
      <c r="J45" s="125"/>
      <c r="K45" s="125"/>
      <c r="L45" s="13">
        <v>10</v>
      </c>
      <c r="M45" s="15" t="s">
        <v>326</v>
      </c>
      <c r="N45" s="19" t="s">
        <v>183</v>
      </c>
      <c r="O45" s="17" t="s">
        <v>327</v>
      </c>
      <c r="P45" s="39" t="s">
        <v>640</v>
      </c>
      <c r="Q45" s="59"/>
      <c r="S45" s="2"/>
      <c r="T45" s="2"/>
    </row>
    <row r="46" spans="1:20" ht="34" customHeight="1">
      <c r="A46" s="166"/>
      <c r="B46" s="122"/>
      <c r="C46" s="122"/>
      <c r="D46" s="129"/>
      <c r="E46" s="126"/>
      <c r="F46" s="126"/>
      <c r="G46" s="126"/>
      <c r="H46" s="126"/>
      <c r="I46" s="164"/>
      <c r="J46" s="126"/>
      <c r="K46" s="126"/>
      <c r="L46" s="20">
        <v>11</v>
      </c>
      <c r="M46" s="22" t="s">
        <v>297</v>
      </c>
      <c r="N46" s="4" t="s">
        <v>162</v>
      </c>
      <c r="O46" s="6" t="s">
        <v>163</v>
      </c>
      <c r="P46" s="39" t="s">
        <v>640</v>
      </c>
      <c r="Q46" s="59"/>
      <c r="S46" s="2"/>
      <c r="T46" s="2"/>
    </row>
    <row r="47" spans="1:20" ht="34" customHeight="1">
      <c r="A47" s="166"/>
      <c r="B47" s="122"/>
      <c r="C47" s="122"/>
      <c r="D47" s="127" t="s">
        <v>43</v>
      </c>
      <c r="E47" s="124" t="s">
        <v>761</v>
      </c>
      <c r="F47" s="124" t="s">
        <v>50</v>
      </c>
      <c r="G47" s="124" t="s">
        <v>51</v>
      </c>
      <c r="H47" s="124" t="s">
        <v>225</v>
      </c>
      <c r="I47" s="162" t="s">
        <v>15</v>
      </c>
      <c r="J47" s="124" t="s">
        <v>52</v>
      </c>
      <c r="K47" s="124" t="s">
        <v>216</v>
      </c>
      <c r="L47" s="43">
        <v>1</v>
      </c>
      <c r="M47" s="25" t="s">
        <v>328</v>
      </c>
      <c r="N47" s="25" t="s">
        <v>298</v>
      </c>
      <c r="O47" s="17" t="s">
        <v>164</v>
      </c>
      <c r="P47" s="39" t="s">
        <v>640</v>
      </c>
      <c r="Q47" s="60"/>
    </row>
    <row r="48" spans="1:20" ht="34" customHeight="1">
      <c r="A48" s="166"/>
      <c r="B48" s="122"/>
      <c r="C48" s="122"/>
      <c r="D48" s="128"/>
      <c r="E48" s="125"/>
      <c r="F48" s="125"/>
      <c r="G48" s="125"/>
      <c r="H48" s="125"/>
      <c r="I48" s="163"/>
      <c r="J48" s="125"/>
      <c r="K48" s="125"/>
      <c r="L48" s="13">
        <v>2</v>
      </c>
      <c r="M48" s="15" t="s">
        <v>329</v>
      </c>
      <c r="N48" s="16" t="s">
        <v>560</v>
      </c>
      <c r="O48" s="17" t="s">
        <v>165</v>
      </c>
      <c r="P48" s="39" t="s">
        <v>640</v>
      </c>
      <c r="Q48" s="59"/>
      <c r="T48" s="2"/>
    </row>
    <row r="49" spans="1:20" ht="34" customHeight="1">
      <c r="A49" s="166"/>
      <c r="B49" s="122"/>
      <c r="C49" s="122"/>
      <c r="D49" s="128"/>
      <c r="E49" s="125"/>
      <c r="F49" s="125"/>
      <c r="G49" s="125"/>
      <c r="H49" s="125"/>
      <c r="I49" s="163"/>
      <c r="J49" s="125"/>
      <c r="K49" s="125"/>
      <c r="L49" s="13">
        <v>3</v>
      </c>
      <c r="M49" s="25" t="s">
        <v>330</v>
      </c>
      <c r="N49" s="19" t="s">
        <v>331</v>
      </c>
      <c r="O49" s="18" t="s">
        <v>561</v>
      </c>
      <c r="P49" s="39" t="s">
        <v>640</v>
      </c>
      <c r="Q49" s="60"/>
      <c r="S49" s="2"/>
    </row>
    <row r="50" spans="1:20" ht="34" customHeight="1">
      <c r="A50" s="166"/>
      <c r="B50" s="122"/>
      <c r="C50" s="122"/>
      <c r="D50" s="128"/>
      <c r="E50" s="125"/>
      <c r="F50" s="125"/>
      <c r="G50" s="125"/>
      <c r="H50" s="125"/>
      <c r="I50" s="163"/>
      <c r="J50" s="125"/>
      <c r="K50" s="125"/>
      <c r="L50" s="13">
        <v>4</v>
      </c>
      <c r="M50" s="15" t="s">
        <v>332</v>
      </c>
      <c r="N50" s="16" t="s">
        <v>562</v>
      </c>
      <c r="O50" s="17" t="s">
        <v>166</v>
      </c>
      <c r="P50" s="39" t="s">
        <v>640</v>
      </c>
      <c r="Q50" s="59"/>
      <c r="T50" s="2"/>
    </row>
    <row r="51" spans="1:20" ht="34" customHeight="1">
      <c r="A51" s="166"/>
      <c r="B51" s="122"/>
      <c r="C51" s="122"/>
      <c r="D51" s="128"/>
      <c r="E51" s="125"/>
      <c r="F51" s="125"/>
      <c r="G51" s="125"/>
      <c r="H51" s="125"/>
      <c r="I51" s="163"/>
      <c r="J51" s="125"/>
      <c r="K51" s="125"/>
      <c r="L51" s="31">
        <v>5</v>
      </c>
      <c r="M51" s="32" t="s">
        <v>389</v>
      </c>
      <c r="N51" s="19" t="s">
        <v>159</v>
      </c>
      <c r="O51" s="17" t="s">
        <v>302</v>
      </c>
      <c r="P51" s="39" t="s">
        <v>640</v>
      </c>
      <c r="Q51" s="59"/>
      <c r="S51" s="2"/>
      <c r="T51" s="2"/>
    </row>
    <row r="52" spans="1:20" ht="34" customHeight="1">
      <c r="A52" s="166"/>
      <c r="B52" s="122"/>
      <c r="C52" s="122"/>
      <c r="D52" s="128"/>
      <c r="E52" s="125"/>
      <c r="F52" s="125"/>
      <c r="G52" s="125"/>
      <c r="H52" s="125"/>
      <c r="I52" s="163"/>
      <c r="J52" s="125"/>
      <c r="K52" s="125"/>
      <c r="L52" s="31">
        <v>6</v>
      </c>
      <c r="M52" s="33" t="s">
        <v>625</v>
      </c>
      <c r="N52" s="19" t="s">
        <v>331</v>
      </c>
      <c r="O52" s="17" t="s">
        <v>333</v>
      </c>
      <c r="P52" s="39" t="s">
        <v>640</v>
      </c>
      <c r="Q52" s="60"/>
      <c r="S52" s="2"/>
      <c r="T52" s="2"/>
    </row>
    <row r="53" spans="1:20" ht="34" customHeight="1">
      <c r="A53" s="166"/>
      <c r="B53" s="122"/>
      <c r="C53" s="122"/>
      <c r="D53" s="129"/>
      <c r="E53" s="126"/>
      <c r="F53" s="126"/>
      <c r="G53" s="126"/>
      <c r="H53" s="126"/>
      <c r="I53" s="164"/>
      <c r="J53" s="126"/>
      <c r="K53" s="126"/>
      <c r="L53" s="31">
        <v>7</v>
      </c>
      <c r="M53" s="32" t="s">
        <v>626</v>
      </c>
      <c r="N53" s="19" t="s">
        <v>334</v>
      </c>
      <c r="O53" s="17" t="s">
        <v>335</v>
      </c>
      <c r="P53" s="39" t="s">
        <v>640</v>
      </c>
      <c r="Q53" s="59"/>
      <c r="S53" s="2"/>
      <c r="T53" s="2"/>
    </row>
    <row r="54" spans="1:20" ht="34" customHeight="1">
      <c r="A54" s="166"/>
      <c r="B54" s="122"/>
      <c r="C54" s="122"/>
      <c r="D54" s="127" t="s">
        <v>53</v>
      </c>
      <c r="E54" s="124" t="s">
        <v>762</v>
      </c>
      <c r="F54" s="124" t="s">
        <v>54</v>
      </c>
      <c r="G54" s="157" t="s">
        <v>55</v>
      </c>
      <c r="H54" s="130" t="s">
        <v>226</v>
      </c>
      <c r="I54" s="136" t="s">
        <v>15</v>
      </c>
      <c r="J54" s="130" t="s">
        <v>753</v>
      </c>
      <c r="K54" s="130" t="s">
        <v>217</v>
      </c>
      <c r="L54" s="35">
        <v>1</v>
      </c>
      <c r="M54" s="36" t="s">
        <v>457</v>
      </c>
      <c r="N54" s="36" t="s">
        <v>336</v>
      </c>
      <c r="O54" s="12" t="s">
        <v>198</v>
      </c>
      <c r="P54" s="39" t="s">
        <v>640</v>
      </c>
      <c r="Q54" s="59"/>
    </row>
    <row r="55" spans="1:20" ht="34" customHeight="1">
      <c r="A55" s="166"/>
      <c r="B55" s="122"/>
      <c r="C55" s="122"/>
      <c r="D55" s="128"/>
      <c r="E55" s="125"/>
      <c r="F55" s="125"/>
      <c r="G55" s="158"/>
      <c r="H55" s="131"/>
      <c r="I55" s="137"/>
      <c r="J55" s="131"/>
      <c r="K55" s="131"/>
      <c r="L55" s="31">
        <v>2</v>
      </c>
      <c r="M55" s="32" t="s">
        <v>458</v>
      </c>
      <c r="N55" s="19" t="s">
        <v>337</v>
      </c>
      <c r="O55" s="17" t="s">
        <v>338</v>
      </c>
      <c r="P55" s="39" t="s">
        <v>640</v>
      </c>
      <c r="Q55" s="59"/>
      <c r="S55" s="2"/>
      <c r="T55" s="2"/>
    </row>
    <row r="56" spans="1:20" ht="34" customHeight="1">
      <c r="A56" s="166"/>
      <c r="B56" s="122"/>
      <c r="C56" s="122"/>
      <c r="D56" s="128"/>
      <c r="E56" s="125"/>
      <c r="F56" s="125"/>
      <c r="G56" s="158"/>
      <c r="H56" s="131"/>
      <c r="I56" s="137"/>
      <c r="J56" s="131"/>
      <c r="K56" s="131"/>
      <c r="L56" s="31">
        <v>3</v>
      </c>
      <c r="M56" s="32" t="s">
        <v>627</v>
      </c>
      <c r="N56" s="16" t="s">
        <v>513</v>
      </c>
      <c r="O56" s="18" t="s">
        <v>563</v>
      </c>
      <c r="P56" s="39" t="s">
        <v>640</v>
      </c>
      <c r="Q56" s="59"/>
    </row>
    <row r="57" spans="1:20" ht="34" customHeight="1">
      <c r="A57" s="166"/>
      <c r="B57" s="122"/>
      <c r="C57" s="122"/>
      <c r="D57" s="128"/>
      <c r="E57" s="125"/>
      <c r="F57" s="125"/>
      <c r="G57" s="158"/>
      <c r="H57" s="131"/>
      <c r="I57" s="137"/>
      <c r="J57" s="131"/>
      <c r="K57" s="131"/>
      <c r="L57" s="31">
        <v>4</v>
      </c>
      <c r="M57" s="32" t="s">
        <v>628</v>
      </c>
      <c r="N57" s="19" t="s">
        <v>339</v>
      </c>
      <c r="O57" s="17" t="s">
        <v>340</v>
      </c>
      <c r="P57" s="39" t="s">
        <v>640</v>
      </c>
      <c r="Q57" s="59"/>
      <c r="S57" s="2"/>
      <c r="T57" s="2"/>
    </row>
    <row r="58" spans="1:20" ht="34" customHeight="1">
      <c r="A58" s="166"/>
      <c r="B58" s="122"/>
      <c r="C58" s="122"/>
      <c r="D58" s="128"/>
      <c r="E58" s="125"/>
      <c r="F58" s="125"/>
      <c r="G58" s="158"/>
      <c r="H58" s="131"/>
      <c r="I58" s="137"/>
      <c r="J58" s="131"/>
      <c r="K58" s="131"/>
      <c r="L58" s="31">
        <v>5</v>
      </c>
      <c r="M58" s="32" t="s">
        <v>388</v>
      </c>
      <c r="N58" s="16" t="s">
        <v>167</v>
      </c>
      <c r="O58" s="17" t="s">
        <v>168</v>
      </c>
      <c r="P58" s="39" t="s">
        <v>640</v>
      </c>
      <c r="Q58" s="59"/>
      <c r="T58" s="2"/>
    </row>
    <row r="59" spans="1:20" ht="34" customHeight="1">
      <c r="A59" s="166"/>
      <c r="B59" s="122"/>
      <c r="C59" s="122"/>
      <c r="D59" s="128"/>
      <c r="E59" s="125"/>
      <c r="F59" s="125"/>
      <c r="G59" s="158"/>
      <c r="H59" s="131"/>
      <c r="I59" s="137"/>
      <c r="J59" s="131"/>
      <c r="K59" s="131"/>
      <c r="L59" s="31">
        <v>6</v>
      </c>
      <c r="M59" s="32" t="s">
        <v>629</v>
      </c>
      <c r="N59" s="19" t="s">
        <v>341</v>
      </c>
      <c r="O59" s="17" t="s">
        <v>342</v>
      </c>
      <c r="P59" s="39" t="s">
        <v>640</v>
      </c>
      <c r="Q59" s="59"/>
      <c r="S59" s="2"/>
      <c r="T59" s="2"/>
    </row>
    <row r="60" spans="1:20" ht="34" customHeight="1">
      <c r="A60" s="166"/>
      <c r="B60" s="122"/>
      <c r="C60" s="122"/>
      <c r="D60" s="128"/>
      <c r="E60" s="125"/>
      <c r="F60" s="125"/>
      <c r="G60" s="158"/>
      <c r="H60" s="131"/>
      <c r="I60" s="137"/>
      <c r="J60" s="131"/>
      <c r="K60" s="131"/>
      <c r="L60" s="31">
        <v>7</v>
      </c>
      <c r="M60" s="32" t="s">
        <v>410</v>
      </c>
      <c r="N60" s="19" t="s">
        <v>343</v>
      </c>
      <c r="O60" s="17" t="s">
        <v>344</v>
      </c>
      <c r="P60" s="39" t="s">
        <v>640</v>
      </c>
      <c r="Q60" s="59"/>
      <c r="S60" s="2"/>
      <c r="T60" s="2"/>
    </row>
    <row r="61" spans="1:20" ht="34" customHeight="1">
      <c r="A61" s="166"/>
      <c r="B61" s="122"/>
      <c r="C61" s="122"/>
      <c r="D61" s="129"/>
      <c r="E61" s="126"/>
      <c r="F61" s="126"/>
      <c r="G61" s="159"/>
      <c r="H61" s="132"/>
      <c r="I61" s="138"/>
      <c r="J61" s="132"/>
      <c r="K61" s="132"/>
      <c r="L61" s="3">
        <v>8</v>
      </c>
      <c r="M61" s="5" t="s">
        <v>630</v>
      </c>
      <c r="N61" s="29" t="s">
        <v>564</v>
      </c>
      <c r="O61" s="6" t="s">
        <v>169</v>
      </c>
      <c r="P61" s="39" t="s">
        <v>640</v>
      </c>
      <c r="Q61" s="59"/>
      <c r="T61" s="2"/>
    </row>
    <row r="62" spans="1:20" ht="34" customHeight="1">
      <c r="A62" s="166"/>
      <c r="B62" s="122"/>
      <c r="C62" s="122"/>
      <c r="D62" s="127" t="s">
        <v>56</v>
      </c>
      <c r="E62" s="162" t="s">
        <v>763</v>
      </c>
      <c r="F62" s="124" t="s">
        <v>57</v>
      </c>
      <c r="G62" s="157" t="s">
        <v>58</v>
      </c>
      <c r="H62" s="157" t="s">
        <v>227</v>
      </c>
      <c r="I62" s="136" t="s">
        <v>15</v>
      </c>
      <c r="J62" s="130" t="s">
        <v>59</v>
      </c>
      <c r="K62" s="130" t="s">
        <v>218</v>
      </c>
      <c r="L62" s="44">
        <v>1</v>
      </c>
      <c r="M62" s="32" t="s">
        <v>565</v>
      </c>
      <c r="N62" s="32" t="s">
        <v>345</v>
      </c>
      <c r="O62" s="17" t="s">
        <v>346</v>
      </c>
      <c r="P62" s="39" t="s">
        <v>640</v>
      </c>
      <c r="Q62" s="59"/>
      <c r="S62" s="2"/>
    </row>
    <row r="63" spans="1:20" ht="34" customHeight="1">
      <c r="A63" s="166"/>
      <c r="B63" s="122"/>
      <c r="C63" s="122"/>
      <c r="D63" s="128"/>
      <c r="E63" s="163"/>
      <c r="F63" s="125"/>
      <c r="G63" s="158"/>
      <c r="H63" s="158"/>
      <c r="I63" s="137"/>
      <c r="J63" s="131"/>
      <c r="K63" s="131"/>
      <c r="L63" s="31">
        <v>2</v>
      </c>
      <c r="M63" s="32" t="s">
        <v>631</v>
      </c>
      <c r="N63" s="19" t="s">
        <v>347</v>
      </c>
      <c r="O63" s="18" t="s">
        <v>566</v>
      </c>
      <c r="P63" s="39" t="s">
        <v>640</v>
      </c>
      <c r="Q63" s="59"/>
      <c r="S63" s="2"/>
    </row>
    <row r="64" spans="1:20" ht="34" customHeight="1">
      <c r="A64" s="166"/>
      <c r="B64" s="122"/>
      <c r="C64" s="122"/>
      <c r="D64" s="128"/>
      <c r="E64" s="163"/>
      <c r="F64" s="125"/>
      <c r="G64" s="158"/>
      <c r="H64" s="158"/>
      <c r="I64" s="137"/>
      <c r="J64" s="131"/>
      <c r="K64" s="131"/>
      <c r="L64" s="31">
        <v>3</v>
      </c>
      <c r="M64" s="32" t="s">
        <v>632</v>
      </c>
      <c r="N64" s="19" t="s">
        <v>348</v>
      </c>
      <c r="O64" s="17" t="s">
        <v>349</v>
      </c>
      <c r="P64" s="39" t="s">
        <v>640</v>
      </c>
      <c r="Q64" s="59"/>
      <c r="S64" s="2"/>
      <c r="T64" s="2"/>
    </row>
    <row r="65" spans="1:20" ht="34" customHeight="1">
      <c r="A65" s="166"/>
      <c r="B65" s="122"/>
      <c r="C65" s="122"/>
      <c r="D65" s="128"/>
      <c r="E65" s="163"/>
      <c r="F65" s="125"/>
      <c r="G65" s="158"/>
      <c r="H65" s="158"/>
      <c r="I65" s="137"/>
      <c r="J65" s="131"/>
      <c r="K65" s="131"/>
      <c r="L65" s="31">
        <v>4</v>
      </c>
      <c r="M65" s="32" t="s">
        <v>567</v>
      </c>
      <c r="N65" s="16" t="s">
        <v>350</v>
      </c>
      <c r="O65" s="17" t="s">
        <v>170</v>
      </c>
      <c r="P65" s="39" t="s">
        <v>640</v>
      </c>
      <c r="Q65" s="59"/>
      <c r="T65" s="2"/>
    </row>
    <row r="66" spans="1:20" ht="34" customHeight="1">
      <c r="A66" s="166"/>
      <c r="B66" s="122"/>
      <c r="C66" s="122"/>
      <c r="D66" s="128"/>
      <c r="E66" s="163"/>
      <c r="F66" s="125"/>
      <c r="G66" s="158"/>
      <c r="H66" s="158"/>
      <c r="I66" s="137"/>
      <c r="J66" s="131"/>
      <c r="K66" s="131"/>
      <c r="L66" s="31">
        <v>5</v>
      </c>
      <c r="M66" s="32" t="s">
        <v>568</v>
      </c>
      <c r="N66" s="19" t="s">
        <v>351</v>
      </c>
      <c r="O66" s="17" t="s">
        <v>352</v>
      </c>
      <c r="P66" s="39" t="s">
        <v>640</v>
      </c>
      <c r="Q66" s="59"/>
      <c r="S66" s="2"/>
      <c r="T66" s="2"/>
    </row>
    <row r="67" spans="1:20" ht="34" customHeight="1">
      <c r="A67" s="166"/>
      <c r="B67" s="122"/>
      <c r="C67" s="122"/>
      <c r="D67" s="128"/>
      <c r="E67" s="163"/>
      <c r="F67" s="125"/>
      <c r="G67" s="158"/>
      <c r="H67" s="158"/>
      <c r="I67" s="137"/>
      <c r="J67" s="131"/>
      <c r="K67" s="131"/>
      <c r="L67" s="31">
        <v>6</v>
      </c>
      <c r="M67" s="32" t="s">
        <v>633</v>
      </c>
      <c r="N67" s="19" t="s">
        <v>353</v>
      </c>
      <c r="O67" s="17" t="s">
        <v>354</v>
      </c>
      <c r="P67" s="39" t="s">
        <v>640</v>
      </c>
      <c r="Q67" s="59"/>
      <c r="S67" s="2"/>
      <c r="T67" s="2"/>
    </row>
    <row r="68" spans="1:20" ht="34" customHeight="1">
      <c r="A68" s="166"/>
      <c r="B68" s="122"/>
      <c r="C68" s="122"/>
      <c r="D68" s="128"/>
      <c r="E68" s="164"/>
      <c r="F68" s="126"/>
      <c r="G68" s="159"/>
      <c r="H68" s="159"/>
      <c r="I68" s="138"/>
      <c r="J68" s="132"/>
      <c r="K68" s="132"/>
      <c r="L68" s="31">
        <v>7</v>
      </c>
      <c r="M68" s="32" t="s">
        <v>634</v>
      </c>
      <c r="N68" s="19" t="s">
        <v>355</v>
      </c>
      <c r="O68" s="17" t="s">
        <v>356</v>
      </c>
      <c r="P68" s="39" t="s">
        <v>640</v>
      </c>
      <c r="Q68" s="59"/>
      <c r="S68" s="2"/>
      <c r="T68" s="2"/>
    </row>
    <row r="69" spans="1:20" ht="34" customHeight="1">
      <c r="A69" s="166"/>
      <c r="B69" s="122"/>
      <c r="C69" s="122"/>
      <c r="D69" s="128"/>
      <c r="E69" s="124" t="s">
        <v>764</v>
      </c>
      <c r="F69" s="124" t="s">
        <v>60</v>
      </c>
      <c r="G69" s="157" t="s">
        <v>61</v>
      </c>
      <c r="H69" s="157" t="s">
        <v>228</v>
      </c>
      <c r="I69" s="136" t="s">
        <v>15</v>
      </c>
      <c r="J69" s="130" t="s">
        <v>62</v>
      </c>
      <c r="K69" s="130" t="s">
        <v>63</v>
      </c>
      <c r="L69" s="35">
        <v>1</v>
      </c>
      <c r="M69" s="36" t="s">
        <v>569</v>
      </c>
      <c r="N69" s="36" t="s">
        <v>357</v>
      </c>
      <c r="O69" s="12" t="s">
        <v>171</v>
      </c>
      <c r="P69" s="39" t="s">
        <v>640</v>
      </c>
      <c r="Q69" s="59"/>
      <c r="S69" s="2"/>
    </row>
    <row r="70" spans="1:20" ht="34" customHeight="1">
      <c r="A70" s="166"/>
      <c r="B70" s="122"/>
      <c r="C70" s="122"/>
      <c r="D70" s="128"/>
      <c r="E70" s="125"/>
      <c r="F70" s="125"/>
      <c r="G70" s="158"/>
      <c r="H70" s="158"/>
      <c r="I70" s="137"/>
      <c r="J70" s="131"/>
      <c r="K70" s="131"/>
      <c r="L70" s="31">
        <v>2</v>
      </c>
      <c r="M70" s="32" t="s">
        <v>633</v>
      </c>
      <c r="N70" s="19" t="s">
        <v>358</v>
      </c>
      <c r="O70" s="17" t="s">
        <v>359</v>
      </c>
      <c r="P70" s="39" t="s">
        <v>640</v>
      </c>
      <c r="Q70" s="59"/>
      <c r="S70" s="2"/>
      <c r="T70" s="2"/>
    </row>
    <row r="71" spans="1:20" ht="34" customHeight="1">
      <c r="A71" s="166"/>
      <c r="B71" s="122"/>
      <c r="C71" s="122"/>
      <c r="D71" s="128"/>
      <c r="E71" s="125"/>
      <c r="F71" s="125"/>
      <c r="G71" s="158"/>
      <c r="H71" s="158"/>
      <c r="I71" s="137"/>
      <c r="J71" s="131"/>
      <c r="K71" s="131"/>
      <c r="L71" s="31">
        <v>3</v>
      </c>
      <c r="M71" s="32" t="s">
        <v>635</v>
      </c>
      <c r="N71" s="19" t="s">
        <v>172</v>
      </c>
      <c r="O71" s="17" t="s">
        <v>173</v>
      </c>
      <c r="P71" s="39" t="s">
        <v>640</v>
      </c>
      <c r="Q71" s="59"/>
      <c r="S71" s="2"/>
      <c r="T71" s="2"/>
    </row>
    <row r="72" spans="1:20" ht="34" customHeight="1">
      <c r="A72" s="166"/>
      <c r="B72" s="122"/>
      <c r="C72" s="122"/>
      <c r="D72" s="128"/>
      <c r="E72" s="125"/>
      <c r="F72" s="125"/>
      <c r="G72" s="158"/>
      <c r="H72" s="158"/>
      <c r="I72" s="137"/>
      <c r="J72" s="131"/>
      <c r="K72" s="131"/>
      <c r="L72" s="31">
        <v>4</v>
      </c>
      <c r="M72" s="32" t="s">
        <v>636</v>
      </c>
      <c r="N72" s="19" t="s">
        <v>174</v>
      </c>
      <c r="O72" s="17" t="s">
        <v>360</v>
      </c>
      <c r="P72" s="39" t="s">
        <v>640</v>
      </c>
      <c r="Q72" s="59"/>
      <c r="S72" s="2"/>
      <c r="T72" s="2"/>
    </row>
    <row r="73" spans="1:20" ht="34" customHeight="1">
      <c r="A73" s="166"/>
      <c r="B73" s="122"/>
      <c r="C73" s="122"/>
      <c r="D73" s="128"/>
      <c r="E73" s="125"/>
      <c r="F73" s="125"/>
      <c r="G73" s="158"/>
      <c r="H73" s="158"/>
      <c r="I73" s="137"/>
      <c r="J73" s="131"/>
      <c r="K73" s="131"/>
      <c r="L73" s="31">
        <v>5</v>
      </c>
      <c r="M73" s="32" t="s">
        <v>570</v>
      </c>
      <c r="N73" s="19" t="s">
        <v>361</v>
      </c>
      <c r="O73" s="17" t="s">
        <v>362</v>
      </c>
      <c r="P73" s="39" t="s">
        <v>640</v>
      </c>
      <c r="Q73" s="59"/>
      <c r="S73" s="2"/>
      <c r="T73" s="2"/>
    </row>
    <row r="74" spans="1:20" ht="34" customHeight="1">
      <c r="A74" s="166"/>
      <c r="B74" s="122"/>
      <c r="C74" s="122"/>
      <c r="D74" s="129"/>
      <c r="E74" s="126"/>
      <c r="F74" s="126"/>
      <c r="G74" s="159"/>
      <c r="H74" s="159"/>
      <c r="I74" s="138"/>
      <c r="J74" s="132"/>
      <c r="K74" s="132"/>
      <c r="L74" s="3">
        <v>6</v>
      </c>
      <c r="M74" s="5" t="s">
        <v>571</v>
      </c>
      <c r="N74" s="4" t="s">
        <v>363</v>
      </c>
      <c r="O74" s="6" t="s">
        <v>364</v>
      </c>
      <c r="P74" s="39" t="s">
        <v>640</v>
      </c>
      <c r="Q74" s="59"/>
      <c r="S74" s="2"/>
      <c r="T74" s="2"/>
    </row>
    <row r="75" spans="1:20" ht="34" customHeight="1">
      <c r="A75" s="166"/>
      <c r="B75" s="122"/>
      <c r="C75" s="122"/>
      <c r="D75" s="127" t="s">
        <v>27</v>
      </c>
      <c r="E75" s="124" t="s">
        <v>765</v>
      </c>
      <c r="F75" s="124" t="s">
        <v>66</v>
      </c>
      <c r="G75" s="157" t="s">
        <v>67</v>
      </c>
      <c r="H75" s="130" t="s">
        <v>229</v>
      </c>
      <c r="I75" s="136" t="s">
        <v>15</v>
      </c>
      <c r="J75" s="130" t="s">
        <v>68</v>
      </c>
      <c r="K75" s="130" t="s">
        <v>69</v>
      </c>
      <c r="L75" s="44">
        <v>1</v>
      </c>
      <c r="M75" s="32" t="s">
        <v>393</v>
      </c>
      <c r="N75" s="32" t="s">
        <v>365</v>
      </c>
      <c r="O75" s="17" t="s">
        <v>366</v>
      </c>
      <c r="P75" s="39" t="s">
        <v>640</v>
      </c>
      <c r="Q75" s="59"/>
      <c r="S75" s="2"/>
    </row>
    <row r="76" spans="1:20" ht="34" customHeight="1">
      <c r="A76" s="166"/>
      <c r="B76" s="122"/>
      <c r="C76" s="122"/>
      <c r="D76" s="128"/>
      <c r="E76" s="125"/>
      <c r="F76" s="125"/>
      <c r="G76" s="158"/>
      <c r="H76" s="131"/>
      <c r="I76" s="137"/>
      <c r="J76" s="131"/>
      <c r="K76" s="131"/>
      <c r="L76" s="31">
        <v>2</v>
      </c>
      <c r="M76" s="32" t="s">
        <v>637</v>
      </c>
      <c r="N76" s="16" t="s">
        <v>274</v>
      </c>
      <c r="O76" s="17" t="s">
        <v>179</v>
      </c>
      <c r="P76" s="39" t="s">
        <v>640</v>
      </c>
      <c r="Q76" s="59"/>
      <c r="T76" s="2"/>
    </row>
    <row r="77" spans="1:20" ht="34" customHeight="1">
      <c r="A77" s="166"/>
      <c r="B77" s="122"/>
      <c r="C77" s="122"/>
      <c r="D77" s="128"/>
      <c r="E77" s="125"/>
      <c r="F77" s="125"/>
      <c r="G77" s="158"/>
      <c r="H77" s="131"/>
      <c r="I77" s="137"/>
      <c r="J77" s="131"/>
      <c r="K77" s="131"/>
      <c r="L77" s="31">
        <v>3</v>
      </c>
      <c r="M77" s="32" t="s">
        <v>572</v>
      </c>
      <c r="N77" s="19" t="s">
        <v>367</v>
      </c>
      <c r="O77" s="17" t="s">
        <v>368</v>
      </c>
      <c r="P77" s="39" t="s">
        <v>640</v>
      </c>
      <c r="Q77" s="59"/>
      <c r="S77" s="2"/>
      <c r="T77" s="2"/>
    </row>
    <row r="78" spans="1:20" ht="34" customHeight="1">
      <c r="A78" s="166"/>
      <c r="B78" s="122"/>
      <c r="C78" s="122"/>
      <c r="D78" s="128"/>
      <c r="E78" s="125"/>
      <c r="F78" s="125"/>
      <c r="G78" s="158"/>
      <c r="H78" s="131"/>
      <c r="I78" s="137"/>
      <c r="J78" s="131"/>
      <c r="K78" s="131"/>
      <c r="L78" s="31">
        <v>4</v>
      </c>
      <c r="M78" s="32" t="s">
        <v>386</v>
      </c>
      <c r="N78" s="19" t="s">
        <v>369</v>
      </c>
      <c r="O78" s="17" t="s">
        <v>370</v>
      </c>
      <c r="P78" s="39" t="s">
        <v>640</v>
      </c>
      <c r="Q78" s="59"/>
      <c r="S78" s="2"/>
      <c r="T78" s="2"/>
    </row>
    <row r="79" spans="1:20" ht="34" customHeight="1">
      <c r="A79" s="166"/>
      <c r="B79" s="122"/>
      <c r="C79" s="122"/>
      <c r="D79" s="128"/>
      <c r="E79" s="125"/>
      <c r="F79" s="125"/>
      <c r="G79" s="158"/>
      <c r="H79" s="131"/>
      <c r="I79" s="137"/>
      <c r="J79" s="131"/>
      <c r="K79" s="131"/>
      <c r="L79" s="31">
        <v>5</v>
      </c>
      <c r="M79" s="32" t="s">
        <v>388</v>
      </c>
      <c r="N79" s="16" t="s">
        <v>167</v>
      </c>
      <c r="O79" s="17" t="s">
        <v>168</v>
      </c>
      <c r="P79" s="39" t="s">
        <v>640</v>
      </c>
      <c r="Q79" s="59"/>
      <c r="T79" s="2"/>
    </row>
    <row r="80" spans="1:20" ht="34" customHeight="1">
      <c r="A80" s="166"/>
      <c r="B80" s="122"/>
      <c r="C80" s="122"/>
      <c r="D80" s="128"/>
      <c r="E80" s="125"/>
      <c r="F80" s="125"/>
      <c r="G80" s="158"/>
      <c r="H80" s="131"/>
      <c r="I80" s="137"/>
      <c r="J80" s="131"/>
      <c r="K80" s="131"/>
      <c r="L80" s="31">
        <v>6</v>
      </c>
      <c r="M80" s="32" t="s">
        <v>410</v>
      </c>
      <c r="N80" s="19" t="s">
        <v>28</v>
      </c>
      <c r="O80" s="17" t="s">
        <v>344</v>
      </c>
      <c r="P80" s="39" t="s">
        <v>640</v>
      </c>
      <c r="Q80" s="59"/>
      <c r="S80" s="2"/>
      <c r="T80" s="2"/>
    </row>
    <row r="81" spans="1:20" ht="34" customHeight="1">
      <c r="A81" s="166"/>
      <c r="B81" s="122"/>
      <c r="C81" s="122"/>
      <c r="D81" s="128"/>
      <c r="E81" s="126"/>
      <c r="F81" s="126"/>
      <c r="G81" s="159"/>
      <c r="H81" s="132"/>
      <c r="I81" s="138"/>
      <c r="J81" s="132"/>
      <c r="K81" s="132"/>
      <c r="L81" s="31">
        <v>7</v>
      </c>
      <c r="M81" s="32" t="s">
        <v>573</v>
      </c>
      <c r="N81" s="19" t="s">
        <v>371</v>
      </c>
      <c r="O81" s="17" t="s">
        <v>372</v>
      </c>
      <c r="P81" s="39" t="s">
        <v>640</v>
      </c>
      <c r="Q81" s="59"/>
      <c r="S81" s="2"/>
      <c r="T81" s="2"/>
    </row>
    <row r="82" spans="1:20" ht="34" customHeight="1">
      <c r="A82" s="166"/>
      <c r="B82" s="122"/>
      <c r="C82" s="122"/>
      <c r="D82" s="128"/>
      <c r="E82" s="124" t="s">
        <v>766</v>
      </c>
      <c r="F82" s="124" t="s">
        <v>70</v>
      </c>
      <c r="G82" s="130" t="s">
        <v>71</v>
      </c>
      <c r="H82" s="130" t="s">
        <v>230</v>
      </c>
      <c r="I82" s="136" t="s">
        <v>15</v>
      </c>
      <c r="J82" s="130" t="s">
        <v>68</v>
      </c>
      <c r="K82" s="130" t="s">
        <v>72</v>
      </c>
      <c r="L82" s="35">
        <v>1</v>
      </c>
      <c r="M82" s="36" t="s">
        <v>393</v>
      </c>
      <c r="N82" s="36" t="s">
        <v>373</v>
      </c>
      <c r="O82" s="12" t="s">
        <v>374</v>
      </c>
      <c r="P82" s="39" t="s">
        <v>640</v>
      </c>
      <c r="Q82" s="59"/>
      <c r="S82" s="2"/>
    </row>
    <row r="83" spans="1:20" ht="34" customHeight="1">
      <c r="A83" s="166"/>
      <c r="B83" s="122"/>
      <c r="C83" s="122"/>
      <c r="D83" s="128"/>
      <c r="E83" s="125"/>
      <c r="F83" s="125"/>
      <c r="G83" s="131"/>
      <c r="H83" s="131"/>
      <c r="I83" s="137"/>
      <c r="J83" s="131"/>
      <c r="K83" s="131"/>
      <c r="L83" s="31">
        <v>2</v>
      </c>
      <c r="M83" s="32" t="s">
        <v>574</v>
      </c>
      <c r="N83" s="16" t="s">
        <v>375</v>
      </c>
      <c r="O83" s="17" t="s">
        <v>179</v>
      </c>
      <c r="P83" s="39" t="s">
        <v>640</v>
      </c>
      <c r="Q83" s="59"/>
      <c r="T83" s="2"/>
    </row>
    <row r="84" spans="1:20" ht="34" customHeight="1">
      <c r="A84" s="166"/>
      <c r="B84" s="122"/>
      <c r="C84" s="122"/>
      <c r="D84" s="128"/>
      <c r="E84" s="125"/>
      <c r="F84" s="125"/>
      <c r="G84" s="131"/>
      <c r="H84" s="131"/>
      <c r="I84" s="137"/>
      <c r="J84" s="131"/>
      <c r="K84" s="131"/>
      <c r="L84" s="31">
        <v>3</v>
      </c>
      <c r="M84" s="32" t="s">
        <v>572</v>
      </c>
      <c r="N84" s="19" t="s">
        <v>376</v>
      </c>
      <c r="O84" s="17" t="s">
        <v>377</v>
      </c>
      <c r="P84" s="39" t="s">
        <v>640</v>
      </c>
      <c r="Q84" s="59"/>
      <c r="S84" s="2"/>
      <c r="T84" s="2"/>
    </row>
    <row r="85" spans="1:20" ht="34" customHeight="1">
      <c r="A85" s="166"/>
      <c r="B85" s="122"/>
      <c r="C85" s="122"/>
      <c r="D85" s="128"/>
      <c r="E85" s="125"/>
      <c r="F85" s="125"/>
      <c r="G85" s="131"/>
      <c r="H85" s="131"/>
      <c r="I85" s="137"/>
      <c r="J85" s="131"/>
      <c r="K85" s="131"/>
      <c r="L85" s="31">
        <v>4</v>
      </c>
      <c r="M85" s="32" t="s">
        <v>386</v>
      </c>
      <c r="N85" s="19" t="s">
        <v>378</v>
      </c>
      <c r="O85" s="17" t="s">
        <v>379</v>
      </c>
      <c r="P85" s="39" t="s">
        <v>640</v>
      </c>
      <c r="Q85" s="59"/>
      <c r="S85" s="2"/>
      <c r="T85" s="2"/>
    </row>
    <row r="86" spans="1:20" ht="34" customHeight="1">
      <c r="A86" s="166"/>
      <c r="B86" s="122"/>
      <c r="C86" s="122"/>
      <c r="D86" s="128"/>
      <c r="E86" s="125"/>
      <c r="F86" s="125"/>
      <c r="G86" s="131"/>
      <c r="H86" s="131"/>
      <c r="I86" s="137"/>
      <c r="J86" s="131"/>
      <c r="K86" s="131"/>
      <c r="L86" s="31">
        <v>5</v>
      </c>
      <c r="M86" s="32" t="s">
        <v>388</v>
      </c>
      <c r="N86" s="16" t="s">
        <v>167</v>
      </c>
      <c r="O86" s="17" t="s">
        <v>168</v>
      </c>
      <c r="P86" s="39" t="s">
        <v>640</v>
      </c>
      <c r="Q86" s="59"/>
      <c r="T86" s="2"/>
    </row>
    <row r="87" spans="1:20" ht="34" customHeight="1">
      <c r="A87" s="166"/>
      <c r="B87" s="122"/>
      <c r="C87" s="122"/>
      <c r="D87" s="128"/>
      <c r="E87" s="126"/>
      <c r="F87" s="126"/>
      <c r="G87" s="132"/>
      <c r="H87" s="132"/>
      <c r="I87" s="138"/>
      <c r="J87" s="132"/>
      <c r="K87" s="132"/>
      <c r="L87" s="3">
        <v>6</v>
      </c>
      <c r="M87" s="5" t="s">
        <v>575</v>
      </c>
      <c r="N87" s="4" t="s">
        <v>378</v>
      </c>
      <c r="O87" s="6" t="s">
        <v>380</v>
      </c>
      <c r="P87" s="39" t="s">
        <v>640</v>
      </c>
      <c r="Q87" s="59"/>
      <c r="S87" s="2"/>
      <c r="T87" s="2"/>
    </row>
    <row r="88" spans="1:20" ht="34" customHeight="1">
      <c r="A88" s="166"/>
      <c r="B88" s="122"/>
      <c r="C88" s="122"/>
      <c r="D88" s="128"/>
      <c r="E88" s="124" t="s">
        <v>767</v>
      </c>
      <c r="F88" s="124" t="s">
        <v>142</v>
      </c>
      <c r="G88" s="130" t="s">
        <v>73</v>
      </c>
      <c r="H88" s="130" t="s">
        <v>231</v>
      </c>
      <c r="I88" s="136" t="s">
        <v>64</v>
      </c>
      <c r="J88" s="130" t="s">
        <v>74</v>
      </c>
      <c r="K88" s="130" t="s">
        <v>75</v>
      </c>
      <c r="L88" s="44">
        <v>1</v>
      </c>
      <c r="M88" s="32" t="s">
        <v>393</v>
      </c>
      <c r="N88" s="32" t="s">
        <v>381</v>
      </c>
      <c r="O88" s="17" t="s">
        <v>382</v>
      </c>
      <c r="P88" s="39" t="s">
        <v>640</v>
      </c>
      <c r="Q88" s="59"/>
      <c r="S88" s="2"/>
    </row>
    <row r="89" spans="1:20" ht="34" customHeight="1">
      <c r="A89" s="166"/>
      <c r="B89" s="122"/>
      <c r="C89" s="122"/>
      <c r="D89" s="128"/>
      <c r="E89" s="125"/>
      <c r="F89" s="125"/>
      <c r="G89" s="131"/>
      <c r="H89" s="131"/>
      <c r="I89" s="137"/>
      <c r="J89" s="131"/>
      <c r="K89" s="131"/>
      <c r="L89" s="31">
        <v>2</v>
      </c>
      <c r="M89" s="32" t="s">
        <v>576</v>
      </c>
      <c r="N89" s="16" t="s">
        <v>383</v>
      </c>
      <c r="O89" s="17" t="s">
        <v>179</v>
      </c>
      <c r="P89" s="39" t="s">
        <v>640</v>
      </c>
      <c r="Q89" s="59"/>
      <c r="T89" s="2"/>
    </row>
    <row r="90" spans="1:20" ht="34" customHeight="1">
      <c r="A90" s="166"/>
      <c r="B90" s="122"/>
      <c r="C90" s="122"/>
      <c r="D90" s="128"/>
      <c r="E90" s="125"/>
      <c r="F90" s="125"/>
      <c r="G90" s="131"/>
      <c r="H90" s="131"/>
      <c r="I90" s="137"/>
      <c r="J90" s="131"/>
      <c r="K90" s="131"/>
      <c r="L90" s="31">
        <v>3</v>
      </c>
      <c r="M90" s="32" t="s">
        <v>572</v>
      </c>
      <c r="N90" s="19" t="s">
        <v>384</v>
      </c>
      <c r="O90" s="17" t="s">
        <v>385</v>
      </c>
      <c r="P90" s="39" t="s">
        <v>640</v>
      </c>
      <c r="Q90" s="59"/>
      <c r="S90" s="2"/>
      <c r="T90" s="2"/>
    </row>
    <row r="91" spans="1:20" ht="34" customHeight="1">
      <c r="A91" s="166"/>
      <c r="B91" s="122"/>
      <c r="C91" s="122"/>
      <c r="D91" s="128"/>
      <c r="E91" s="125"/>
      <c r="F91" s="125"/>
      <c r="G91" s="131"/>
      <c r="H91" s="131"/>
      <c r="I91" s="137"/>
      <c r="J91" s="131"/>
      <c r="K91" s="131"/>
      <c r="L91" s="31">
        <v>4</v>
      </c>
      <c r="M91" s="32" t="s">
        <v>386</v>
      </c>
      <c r="N91" s="19" t="s">
        <v>315</v>
      </c>
      <c r="O91" s="17" t="s">
        <v>387</v>
      </c>
      <c r="P91" s="39" t="s">
        <v>640</v>
      </c>
      <c r="Q91" s="59"/>
      <c r="S91" s="2"/>
      <c r="T91" s="2"/>
    </row>
    <row r="92" spans="1:20" ht="34" customHeight="1">
      <c r="A92" s="166"/>
      <c r="B92" s="122"/>
      <c r="C92" s="122"/>
      <c r="D92" s="128"/>
      <c r="E92" s="125"/>
      <c r="F92" s="125"/>
      <c r="G92" s="131"/>
      <c r="H92" s="131"/>
      <c r="I92" s="137"/>
      <c r="J92" s="131"/>
      <c r="K92" s="131"/>
      <c r="L92" s="31">
        <v>5</v>
      </c>
      <c r="M92" s="32" t="s">
        <v>388</v>
      </c>
      <c r="N92" s="16" t="s">
        <v>167</v>
      </c>
      <c r="O92" s="17" t="s">
        <v>175</v>
      </c>
      <c r="P92" s="39" t="s">
        <v>640</v>
      </c>
      <c r="Q92" s="59"/>
      <c r="T92" s="2"/>
    </row>
    <row r="93" spans="1:20" ht="34" customHeight="1">
      <c r="A93" s="166"/>
      <c r="B93" s="122"/>
      <c r="C93" s="122"/>
      <c r="D93" s="128"/>
      <c r="E93" s="125"/>
      <c r="F93" s="125"/>
      <c r="G93" s="131"/>
      <c r="H93" s="131"/>
      <c r="I93" s="137"/>
      <c r="J93" s="131"/>
      <c r="K93" s="131"/>
      <c r="L93" s="31">
        <v>6</v>
      </c>
      <c r="M93" s="32" t="s">
        <v>389</v>
      </c>
      <c r="N93" s="19" t="s">
        <v>176</v>
      </c>
      <c r="O93" s="18" t="s">
        <v>577</v>
      </c>
      <c r="P93" s="39" t="s">
        <v>640</v>
      </c>
      <c r="Q93" s="59"/>
      <c r="S93" s="2"/>
    </row>
    <row r="94" spans="1:20" ht="34" customHeight="1">
      <c r="A94" s="166"/>
      <c r="B94" s="122"/>
      <c r="C94" s="122"/>
      <c r="D94" s="129"/>
      <c r="E94" s="126"/>
      <c r="F94" s="126"/>
      <c r="G94" s="132"/>
      <c r="H94" s="132"/>
      <c r="I94" s="138"/>
      <c r="J94" s="132"/>
      <c r="K94" s="132"/>
      <c r="L94" s="31">
        <v>7</v>
      </c>
      <c r="M94" s="32" t="s">
        <v>390</v>
      </c>
      <c r="N94" s="19" t="s">
        <v>391</v>
      </c>
      <c r="O94" s="17" t="s">
        <v>392</v>
      </c>
      <c r="P94" s="39" t="s">
        <v>640</v>
      </c>
      <c r="Q94" s="59"/>
      <c r="S94" s="2"/>
      <c r="T94" s="2"/>
    </row>
    <row r="95" spans="1:20" ht="34" customHeight="1">
      <c r="A95" s="166"/>
      <c r="B95" s="122"/>
      <c r="C95" s="122"/>
      <c r="D95" s="127" t="s">
        <v>76</v>
      </c>
      <c r="E95" s="124" t="s">
        <v>768</v>
      </c>
      <c r="F95" s="124" t="s">
        <v>77</v>
      </c>
      <c r="G95" s="130" t="s">
        <v>78</v>
      </c>
      <c r="H95" s="130" t="s">
        <v>232</v>
      </c>
      <c r="I95" s="136" t="s">
        <v>64</v>
      </c>
      <c r="J95" s="130" t="s">
        <v>79</v>
      </c>
      <c r="K95" s="130" t="s">
        <v>80</v>
      </c>
      <c r="L95" s="35">
        <v>1</v>
      </c>
      <c r="M95" s="36" t="s">
        <v>393</v>
      </c>
      <c r="N95" s="36" t="s">
        <v>394</v>
      </c>
      <c r="O95" s="12" t="s">
        <v>395</v>
      </c>
      <c r="P95" s="39" t="s">
        <v>640</v>
      </c>
      <c r="Q95" s="59"/>
      <c r="S95" s="2"/>
    </row>
    <row r="96" spans="1:20" ht="34" customHeight="1">
      <c r="A96" s="166"/>
      <c r="B96" s="122"/>
      <c r="C96" s="122"/>
      <c r="D96" s="128"/>
      <c r="E96" s="125"/>
      <c r="F96" s="125"/>
      <c r="G96" s="131"/>
      <c r="H96" s="131"/>
      <c r="I96" s="137"/>
      <c r="J96" s="131"/>
      <c r="K96" s="131"/>
      <c r="L96" s="31">
        <v>2</v>
      </c>
      <c r="M96" s="32" t="s">
        <v>396</v>
      </c>
      <c r="N96" s="16" t="s">
        <v>397</v>
      </c>
      <c r="O96" s="17" t="s">
        <v>177</v>
      </c>
      <c r="P96" s="39" t="s">
        <v>640</v>
      </c>
      <c r="Q96" s="59"/>
      <c r="T96" s="2"/>
    </row>
    <row r="97" spans="1:20" ht="34" customHeight="1">
      <c r="A97" s="166"/>
      <c r="B97" s="122"/>
      <c r="C97" s="122"/>
      <c r="D97" s="128"/>
      <c r="E97" s="125"/>
      <c r="F97" s="125"/>
      <c r="G97" s="131"/>
      <c r="H97" s="131"/>
      <c r="I97" s="137"/>
      <c r="J97" s="131"/>
      <c r="K97" s="131"/>
      <c r="L97" s="31">
        <v>3</v>
      </c>
      <c r="M97" s="32" t="s">
        <v>398</v>
      </c>
      <c r="N97" s="19" t="s">
        <v>399</v>
      </c>
      <c r="O97" s="17" t="s">
        <v>400</v>
      </c>
      <c r="P97" s="39" t="s">
        <v>640</v>
      </c>
      <c r="Q97" s="59"/>
      <c r="S97" s="2"/>
      <c r="T97" s="2"/>
    </row>
    <row r="98" spans="1:20" ht="34" customHeight="1">
      <c r="A98" s="166"/>
      <c r="B98" s="122"/>
      <c r="C98" s="122"/>
      <c r="D98" s="128"/>
      <c r="E98" s="125"/>
      <c r="F98" s="125"/>
      <c r="G98" s="131"/>
      <c r="H98" s="131"/>
      <c r="I98" s="137"/>
      <c r="J98" s="131"/>
      <c r="K98" s="131"/>
      <c r="L98" s="31">
        <v>4</v>
      </c>
      <c r="M98" s="32" t="s">
        <v>388</v>
      </c>
      <c r="N98" s="16" t="s">
        <v>167</v>
      </c>
      <c r="O98" s="17" t="s">
        <v>175</v>
      </c>
      <c r="P98" s="39" t="s">
        <v>640</v>
      </c>
      <c r="Q98" s="59"/>
      <c r="T98" s="2"/>
    </row>
    <row r="99" spans="1:20" ht="34" customHeight="1">
      <c r="A99" s="166"/>
      <c r="B99" s="122"/>
      <c r="C99" s="122"/>
      <c r="D99" s="128"/>
      <c r="E99" s="125"/>
      <c r="F99" s="125"/>
      <c r="G99" s="131"/>
      <c r="H99" s="131"/>
      <c r="I99" s="137"/>
      <c r="J99" s="131"/>
      <c r="K99" s="131"/>
      <c r="L99" s="31">
        <v>5</v>
      </c>
      <c r="M99" s="32" t="s">
        <v>389</v>
      </c>
      <c r="N99" s="19" t="s">
        <v>178</v>
      </c>
      <c r="O99" s="18" t="s">
        <v>578</v>
      </c>
      <c r="P99" s="39" t="s">
        <v>640</v>
      </c>
      <c r="Q99" s="59"/>
      <c r="S99" s="2"/>
    </row>
    <row r="100" spans="1:20" ht="34" customHeight="1">
      <c r="A100" s="166"/>
      <c r="B100" s="122"/>
      <c r="C100" s="122"/>
      <c r="D100" s="128"/>
      <c r="E100" s="126"/>
      <c r="F100" s="126"/>
      <c r="G100" s="132"/>
      <c r="H100" s="132"/>
      <c r="I100" s="138"/>
      <c r="J100" s="132"/>
      <c r="K100" s="132"/>
      <c r="L100" s="3">
        <v>6</v>
      </c>
      <c r="M100" s="5" t="s">
        <v>401</v>
      </c>
      <c r="N100" s="4" t="s">
        <v>402</v>
      </c>
      <c r="O100" s="6" t="s">
        <v>403</v>
      </c>
      <c r="P100" s="39" t="s">
        <v>640</v>
      </c>
      <c r="Q100" s="59"/>
      <c r="S100" s="2"/>
      <c r="T100" s="2"/>
    </row>
    <row r="101" spans="1:20" ht="34" customHeight="1">
      <c r="A101" s="166"/>
      <c r="B101" s="122"/>
      <c r="C101" s="122"/>
      <c r="D101" s="128"/>
      <c r="E101" s="124" t="s">
        <v>769</v>
      </c>
      <c r="F101" s="124" t="s">
        <v>81</v>
      </c>
      <c r="G101" s="130" t="s">
        <v>82</v>
      </c>
      <c r="H101" s="130" t="s">
        <v>233</v>
      </c>
      <c r="I101" s="136" t="s">
        <v>15</v>
      </c>
      <c r="J101" s="130" t="s">
        <v>83</v>
      </c>
      <c r="K101" s="130" t="s">
        <v>84</v>
      </c>
      <c r="L101" s="44">
        <v>1</v>
      </c>
      <c r="M101" s="32" t="s">
        <v>393</v>
      </c>
      <c r="N101" s="32" t="s">
        <v>404</v>
      </c>
      <c r="O101" s="17" t="s">
        <v>405</v>
      </c>
      <c r="P101" s="39" t="s">
        <v>640</v>
      </c>
      <c r="Q101" s="59"/>
      <c r="S101" s="2"/>
    </row>
    <row r="102" spans="1:20" ht="34" customHeight="1">
      <c r="A102" s="166"/>
      <c r="B102" s="122"/>
      <c r="C102" s="122"/>
      <c r="D102" s="128"/>
      <c r="E102" s="125"/>
      <c r="F102" s="125"/>
      <c r="G102" s="131"/>
      <c r="H102" s="131"/>
      <c r="I102" s="137"/>
      <c r="J102" s="131"/>
      <c r="K102" s="131"/>
      <c r="L102" s="31">
        <v>2</v>
      </c>
      <c r="M102" s="32" t="s">
        <v>406</v>
      </c>
      <c r="N102" s="16" t="s">
        <v>579</v>
      </c>
      <c r="O102" s="17" t="s">
        <v>179</v>
      </c>
      <c r="P102" s="39" t="s">
        <v>640</v>
      </c>
      <c r="Q102" s="59"/>
      <c r="T102" s="2"/>
    </row>
    <row r="103" spans="1:20" ht="34" customHeight="1">
      <c r="A103" s="166"/>
      <c r="B103" s="122"/>
      <c r="C103" s="122"/>
      <c r="D103" s="128"/>
      <c r="E103" s="125"/>
      <c r="F103" s="125"/>
      <c r="G103" s="131"/>
      <c r="H103" s="131"/>
      <c r="I103" s="137"/>
      <c r="J103" s="131"/>
      <c r="K103" s="131"/>
      <c r="L103" s="31">
        <v>3</v>
      </c>
      <c r="M103" s="32" t="s">
        <v>407</v>
      </c>
      <c r="N103" s="19" t="s">
        <v>408</v>
      </c>
      <c r="O103" s="17" t="s">
        <v>409</v>
      </c>
      <c r="P103" s="39" t="s">
        <v>640</v>
      </c>
      <c r="Q103" s="59"/>
      <c r="S103" s="2"/>
      <c r="T103" s="2"/>
    </row>
    <row r="104" spans="1:20" ht="34" customHeight="1">
      <c r="A104" s="166"/>
      <c r="B104" s="122"/>
      <c r="C104" s="122"/>
      <c r="D104" s="128"/>
      <c r="E104" s="125"/>
      <c r="F104" s="125"/>
      <c r="G104" s="131"/>
      <c r="H104" s="131"/>
      <c r="I104" s="137"/>
      <c r="J104" s="131"/>
      <c r="K104" s="131"/>
      <c r="L104" s="31">
        <v>4</v>
      </c>
      <c r="M104" s="32" t="s">
        <v>388</v>
      </c>
      <c r="N104" s="16" t="s">
        <v>167</v>
      </c>
      <c r="O104" s="17" t="s">
        <v>168</v>
      </c>
      <c r="P104" s="39" t="s">
        <v>640</v>
      </c>
      <c r="Q104" s="59"/>
      <c r="T104" s="2"/>
    </row>
    <row r="105" spans="1:20" ht="34" customHeight="1">
      <c r="A105" s="166"/>
      <c r="B105" s="122"/>
      <c r="C105" s="122"/>
      <c r="D105" s="128"/>
      <c r="E105" s="125"/>
      <c r="F105" s="125"/>
      <c r="G105" s="131"/>
      <c r="H105" s="131"/>
      <c r="I105" s="137"/>
      <c r="J105" s="131"/>
      <c r="K105" s="131"/>
      <c r="L105" s="31">
        <v>5</v>
      </c>
      <c r="M105" s="32" t="s">
        <v>410</v>
      </c>
      <c r="N105" s="19" t="s">
        <v>28</v>
      </c>
      <c r="O105" s="17" t="s">
        <v>344</v>
      </c>
      <c r="P105" s="39" t="s">
        <v>640</v>
      </c>
      <c r="Q105" s="59"/>
      <c r="S105" s="2"/>
      <c r="T105" s="2"/>
    </row>
    <row r="106" spans="1:20" ht="34" customHeight="1">
      <c r="A106" s="166"/>
      <c r="B106" s="122"/>
      <c r="C106" s="122"/>
      <c r="D106" s="129"/>
      <c r="E106" s="126"/>
      <c r="F106" s="126"/>
      <c r="G106" s="132"/>
      <c r="H106" s="132"/>
      <c r="I106" s="138"/>
      <c r="J106" s="132"/>
      <c r="K106" s="132"/>
      <c r="L106" s="31">
        <v>6</v>
      </c>
      <c r="M106" s="32" t="s">
        <v>411</v>
      </c>
      <c r="N106" s="19" t="s">
        <v>23</v>
      </c>
      <c r="O106" s="17" t="s">
        <v>180</v>
      </c>
      <c r="P106" s="39" t="s">
        <v>640</v>
      </c>
      <c r="Q106" s="59"/>
      <c r="S106" s="2"/>
      <c r="T106" s="2"/>
    </row>
    <row r="107" spans="1:20" ht="34" customHeight="1">
      <c r="A107" s="166"/>
      <c r="B107" s="122"/>
      <c r="C107" s="122"/>
      <c r="D107" s="127" t="s">
        <v>26</v>
      </c>
      <c r="E107" s="124" t="s">
        <v>770</v>
      </c>
      <c r="F107" s="124" t="s">
        <v>85</v>
      </c>
      <c r="G107" s="130" t="s">
        <v>86</v>
      </c>
      <c r="H107" s="130" t="s">
        <v>234</v>
      </c>
      <c r="I107" s="136" t="s">
        <v>64</v>
      </c>
      <c r="J107" s="130" t="s">
        <v>87</v>
      </c>
      <c r="K107" s="130" t="s">
        <v>88</v>
      </c>
      <c r="L107" s="35">
        <v>1</v>
      </c>
      <c r="M107" s="36" t="s">
        <v>412</v>
      </c>
      <c r="N107" s="36" t="s">
        <v>181</v>
      </c>
      <c r="O107" s="12" t="s">
        <v>182</v>
      </c>
      <c r="P107" s="39" t="s">
        <v>640</v>
      </c>
      <c r="Q107" s="60"/>
      <c r="S107" s="2"/>
    </row>
    <row r="108" spans="1:20" ht="34" customHeight="1">
      <c r="A108" s="166"/>
      <c r="B108" s="122"/>
      <c r="C108" s="122"/>
      <c r="D108" s="128"/>
      <c r="E108" s="125"/>
      <c r="F108" s="125"/>
      <c r="G108" s="131"/>
      <c r="H108" s="131"/>
      <c r="I108" s="137"/>
      <c r="J108" s="131"/>
      <c r="K108" s="131"/>
      <c r="L108" s="31">
        <v>2</v>
      </c>
      <c r="M108" s="32" t="s">
        <v>413</v>
      </c>
      <c r="N108" s="19" t="s">
        <v>315</v>
      </c>
      <c r="O108" s="17" t="s">
        <v>316</v>
      </c>
      <c r="P108" s="39" t="s">
        <v>640</v>
      </c>
      <c r="Q108" s="59"/>
      <c r="S108" s="2"/>
      <c r="T108" s="2"/>
    </row>
    <row r="109" spans="1:20" ht="34" customHeight="1">
      <c r="A109" s="166"/>
      <c r="B109" s="122"/>
      <c r="C109" s="122"/>
      <c r="D109" s="128"/>
      <c r="E109" s="125"/>
      <c r="F109" s="125"/>
      <c r="G109" s="131"/>
      <c r="H109" s="131"/>
      <c r="I109" s="137"/>
      <c r="J109" s="131"/>
      <c r="K109" s="131"/>
      <c r="L109" s="31">
        <v>3</v>
      </c>
      <c r="M109" s="32" t="s">
        <v>414</v>
      </c>
      <c r="N109" s="16" t="s">
        <v>160</v>
      </c>
      <c r="O109" s="17" t="s">
        <v>161</v>
      </c>
      <c r="P109" s="39" t="s">
        <v>640</v>
      </c>
      <c r="Q109" s="59"/>
      <c r="T109" s="2"/>
    </row>
    <row r="110" spans="1:20" ht="34" customHeight="1">
      <c r="A110" s="166"/>
      <c r="B110" s="122"/>
      <c r="C110" s="122"/>
      <c r="D110" s="128"/>
      <c r="E110" s="125"/>
      <c r="F110" s="125"/>
      <c r="G110" s="131"/>
      <c r="H110" s="131"/>
      <c r="I110" s="137"/>
      <c r="J110" s="131"/>
      <c r="K110" s="131"/>
      <c r="L110" s="31">
        <v>4</v>
      </c>
      <c r="M110" s="32" t="s">
        <v>415</v>
      </c>
      <c r="N110" s="19" t="s">
        <v>319</v>
      </c>
      <c r="O110" s="17" t="s">
        <v>320</v>
      </c>
      <c r="P110" s="39" t="s">
        <v>640</v>
      </c>
      <c r="Q110" s="59"/>
      <c r="S110" s="2"/>
      <c r="T110" s="2"/>
    </row>
    <row r="111" spans="1:20" ht="34" customHeight="1">
      <c r="A111" s="166"/>
      <c r="B111" s="122"/>
      <c r="C111" s="122"/>
      <c r="D111" s="128"/>
      <c r="E111" s="125"/>
      <c r="F111" s="125"/>
      <c r="G111" s="131"/>
      <c r="H111" s="131"/>
      <c r="I111" s="137"/>
      <c r="J111" s="131"/>
      <c r="K111" s="131"/>
      <c r="L111" s="31">
        <v>5</v>
      </c>
      <c r="M111" s="32" t="s">
        <v>416</v>
      </c>
      <c r="N111" s="19" t="s">
        <v>183</v>
      </c>
      <c r="O111" s="17" t="s">
        <v>327</v>
      </c>
      <c r="P111" s="39" t="s">
        <v>640</v>
      </c>
      <c r="Q111" s="59"/>
      <c r="S111" s="2"/>
      <c r="T111" s="2"/>
    </row>
    <row r="112" spans="1:20" ht="34" customHeight="1">
      <c r="A112" s="166"/>
      <c r="B112" s="122"/>
      <c r="C112" s="122"/>
      <c r="D112" s="128"/>
      <c r="E112" s="125"/>
      <c r="F112" s="125"/>
      <c r="G112" s="131"/>
      <c r="H112" s="131"/>
      <c r="I112" s="137"/>
      <c r="J112" s="131"/>
      <c r="K112" s="131"/>
      <c r="L112" s="31">
        <v>6</v>
      </c>
      <c r="M112" s="32" t="s">
        <v>417</v>
      </c>
      <c r="N112" s="19" t="s">
        <v>418</v>
      </c>
      <c r="O112" s="17" t="s">
        <v>419</v>
      </c>
      <c r="P112" s="39" t="s">
        <v>640</v>
      </c>
      <c r="Q112" s="59"/>
      <c r="S112" s="2"/>
      <c r="T112" s="2"/>
    </row>
    <row r="113" spans="1:20" ht="34" customHeight="1">
      <c r="A113" s="166"/>
      <c r="B113" s="122"/>
      <c r="C113" s="122"/>
      <c r="D113" s="128"/>
      <c r="E113" s="126"/>
      <c r="F113" s="126"/>
      <c r="G113" s="132"/>
      <c r="H113" s="132"/>
      <c r="I113" s="138"/>
      <c r="J113" s="132"/>
      <c r="K113" s="132"/>
      <c r="L113" s="3">
        <v>7</v>
      </c>
      <c r="M113" s="5" t="s">
        <v>420</v>
      </c>
      <c r="N113" s="4" t="s">
        <v>319</v>
      </c>
      <c r="O113" s="6" t="s">
        <v>421</v>
      </c>
      <c r="P113" s="39" t="s">
        <v>640</v>
      </c>
      <c r="Q113" s="59"/>
      <c r="S113" s="2"/>
      <c r="T113" s="2"/>
    </row>
    <row r="114" spans="1:20" ht="34" customHeight="1">
      <c r="A114" s="166"/>
      <c r="B114" s="122"/>
      <c r="C114" s="122"/>
      <c r="D114" s="128"/>
      <c r="E114" s="124" t="s">
        <v>771</v>
      </c>
      <c r="F114" s="124" t="s">
        <v>89</v>
      </c>
      <c r="G114" s="130" t="s">
        <v>90</v>
      </c>
      <c r="H114" s="130" t="s">
        <v>235</v>
      </c>
      <c r="I114" s="136" t="s">
        <v>15</v>
      </c>
      <c r="J114" s="136" t="s">
        <v>91</v>
      </c>
      <c r="K114" s="130" t="s">
        <v>580</v>
      </c>
      <c r="L114" s="44">
        <v>1</v>
      </c>
      <c r="M114" s="33" t="s">
        <v>422</v>
      </c>
      <c r="N114" s="33" t="s">
        <v>423</v>
      </c>
      <c r="O114" s="17" t="s">
        <v>184</v>
      </c>
      <c r="P114" s="39" t="s">
        <v>640</v>
      </c>
      <c r="Q114" s="60"/>
      <c r="S114" s="2"/>
    </row>
    <row r="115" spans="1:20" ht="34" customHeight="1">
      <c r="A115" s="166"/>
      <c r="B115" s="122"/>
      <c r="C115" s="122"/>
      <c r="D115" s="128"/>
      <c r="E115" s="125"/>
      <c r="F115" s="125"/>
      <c r="G115" s="131"/>
      <c r="H115" s="131"/>
      <c r="I115" s="137"/>
      <c r="J115" s="137"/>
      <c r="K115" s="131"/>
      <c r="L115" s="31">
        <v>2</v>
      </c>
      <c r="M115" s="32" t="s">
        <v>424</v>
      </c>
      <c r="N115" s="16" t="s">
        <v>581</v>
      </c>
      <c r="O115" s="17" t="s">
        <v>425</v>
      </c>
      <c r="P115" s="39" t="s">
        <v>640</v>
      </c>
      <c r="Q115" s="59"/>
      <c r="T115" s="2"/>
    </row>
    <row r="116" spans="1:20" ht="34" customHeight="1">
      <c r="A116" s="166"/>
      <c r="B116" s="122"/>
      <c r="C116" s="122"/>
      <c r="D116" s="128"/>
      <c r="E116" s="125"/>
      <c r="F116" s="125"/>
      <c r="G116" s="131"/>
      <c r="H116" s="131"/>
      <c r="I116" s="137"/>
      <c r="J116" s="137"/>
      <c r="K116" s="131"/>
      <c r="L116" s="31">
        <v>3</v>
      </c>
      <c r="M116" s="32" t="s">
        <v>414</v>
      </c>
      <c r="N116" s="16" t="s">
        <v>160</v>
      </c>
      <c r="O116" s="17" t="s">
        <v>185</v>
      </c>
      <c r="P116" s="39" t="s">
        <v>640</v>
      </c>
      <c r="Q116" s="59"/>
      <c r="T116" s="2"/>
    </row>
    <row r="117" spans="1:20" ht="34" customHeight="1">
      <c r="A117" s="166"/>
      <c r="B117" s="122"/>
      <c r="C117" s="122"/>
      <c r="D117" s="128"/>
      <c r="E117" s="125"/>
      <c r="F117" s="125"/>
      <c r="G117" s="131"/>
      <c r="H117" s="131"/>
      <c r="I117" s="137"/>
      <c r="J117" s="137"/>
      <c r="K117" s="131"/>
      <c r="L117" s="31">
        <v>4</v>
      </c>
      <c r="M117" s="33" t="s">
        <v>426</v>
      </c>
      <c r="N117" s="16" t="s">
        <v>582</v>
      </c>
      <c r="O117" s="18" t="s">
        <v>583</v>
      </c>
      <c r="P117" s="39" t="s">
        <v>640</v>
      </c>
      <c r="Q117" s="60"/>
    </row>
    <row r="118" spans="1:20" ht="34" customHeight="1">
      <c r="A118" s="166"/>
      <c r="B118" s="122"/>
      <c r="C118" s="122"/>
      <c r="D118" s="128"/>
      <c r="E118" s="125"/>
      <c r="F118" s="125"/>
      <c r="G118" s="131"/>
      <c r="H118" s="131"/>
      <c r="I118" s="137"/>
      <c r="J118" s="137"/>
      <c r="K118" s="131"/>
      <c r="L118" s="31">
        <v>5</v>
      </c>
      <c r="M118" s="32" t="s">
        <v>389</v>
      </c>
      <c r="N118" s="19" t="s">
        <v>186</v>
      </c>
      <c r="O118" s="18" t="s">
        <v>584</v>
      </c>
      <c r="P118" s="39" t="s">
        <v>640</v>
      </c>
      <c r="Q118" s="59"/>
      <c r="S118" s="2"/>
    </row>
    <row r="119" spans="1:20" ht="34" customHeight="1">
      <c r="A119" s="166"/>
      <c r="B119" s="122"/>
      <c r="C119" s="122"/>
      <c r="D119" s="129"/>
      <c r="E119" s="126"/>
      <c r="F119" s="126"/>
      <c r="G119" s="132"/>
      <c r="H119" s="132"/>
      <c r="I119" s="138"/>
      <c r="J119" s="138"/>
      <c r="K119" s="132"/>
      <c r="L119" s="31">
        <v>6</v>
      </c>
      <c r="M119" s="32" t="s">
        <v>420</v>
      </c>
      <c r="N119" s="16" t="s">
        <v>585</v>
      </c>
      <c r="O119" s="17" t="s">
        <v>427</v>
      </c>
      <c r="P119" s="39" t="s">
        <v>640</v>
      </c>
      <c r="Q119" s="59"/>
      <c r="T119" s="2"/>
    </row>
    <row r="120" spans="1:20" ht="34" customHeight="1">
      <c r="A120" s="166"/>
      <c r="B120" s="122"/>
      <c r="C120" s="122"/>
      <c r="D120" s="127" t="s">
        <v>41</v>
      </c>
      <c r="E120" s="124" t="s">
        <v>772</v>
      </c>
      <c r="F120" s="124" t="s">
        <v>92</v>
      </c>
      <c r="G120" s="130" t="s">
        <v>93</v>
      </c>
      <c r="H120" s="130" t="s">
        <v>236</v>
      </c>
      <c r="I120" s="136" t="s">
        <v>15</v>
      </c>
      <c r="J120" s="130" t="s">
        <v>94</v>
      </c>
      <c r="K120" s="130" t="s">
        <v>95</v>
      </c>
      <c r="L120" s="35">
        <v>1</v>
      </c>
      <c r="M120" s="36" t="s">
        <v>428</v>
      </c>
      <c r="N120" s="36" t="s">
        <v>429</v>
      </c>
      <c r="O120" s="12" t="s">
        <v>187</v>
      </c>
      <c r="P120" s="39" t="s">
        <v>640</v>
      </c>
      <c r="Q120" s="59"/>
      <c r="S120" s="2"/>
    </row>
    <row r="121" spans="1:20" ht="34" customHeight="1">
      <c r="A121" s="166"/>
      <c r="B121" s="122"/>
      <c r="C121" s="122"/>
      <c r="D121" s="128"/>
      <c r="E121" s="125"/>
      <c r="F121" s="125"/>
      <c r="G121" s="131"/>
      <c r="H121" s="131"/>
      <c r="I121" s="137"/>
      <c r="J121" s="131"/>
      <c r="K121" s="131"/>
      <c r="L121" s="31">
        <v>2</v>
      </c>
      <c r="M121" s="32" t="s">
        <v>430</v>
      </c>
      <c r="N121" s="19" t="s">
        <v>431</v>
      </c>
      <c r="O121" s="17" t="s">
        <v>432</v>
      </c>
      <c r="P121" s="39" t="s">
        <v>640</v>
      </c>
      <c r="Q121" s="59"/>
      <c r="S121" s="2"/>
      <c r="T121" s="2"/>
    </row>
    <row r="122" spans="1:20" ht="34" customHeight="1">
      <c r="A122" s="166"/>
      <c r="B122" s="122"/>
      <c r="C122" s="122"/>
      <c r="D122" s="128"/>
      <c r="E122" s="125"/>
      <c r="F122" s="125"/>
      <c r="G122" s="131"/>
      <c r="H122" s="131"/>
      <c r="I122" s="137"/>
      <c r="J122" s="131"/>
      <c r="K122" s="131"/>
      <c r="L122" s="31">
        <v>3</v>
      </c>
      <c r="M122" s="32" t="s">
        <v>433</v>
      </c>
      <c r="N122" s="16" t="s">
        <v>188</v>
      </c>
      <c r="O122" s="17" t="s">
        <v>189</v>
      </c>
      <c r="P122" s="39" t="s">
        <v>640</v>
      </c>
      <c r="Q122" s="59"/>
      <c r="T122" s="2"/>
    </row>
    <row r="123" spans="1:20" ht="34" customHeight="1">
      <c r="A123" s="166"/>
      <c r="B123" s="122"/>
      <c r="C123" s="122"/>
      <c r="D123" s="128"/>
      <c r="E123" s="125"/>
      <c r="F123" s="125"/>
      <c r="G123" s="131"/>
      <c r="H123" s="131"/>
      <c r="I123" s="137"/>
      <c r="J123" s="131"/>
      <c r="K123" s="131"/>
      <c r="L123" s="31">
        <v>4</v>
      </c>
      <c r="M123" s="32" t="s">
        <v>434</v>
      </c>
      <c r="N123" s="19" t="s">
        <v>190</v>
      </c>
      <c r="O123" s="17" t="s">
        <v>435</v>
      </c>
      <c r="P123" s="39" t="s">
        <v>640</v>
      </c>
      <c r="Q123" s="59"/>
      <c r="S123" s="2"/>
      <c r="T123" s="2"/>
    </row>
    <row r="124" spans="1:20" ht="34" customHeight="1">
      <c r="A124" s="166"/>
      <c r="B124" s="122"/>
      <c r="C124" s="122"/>
      <c r="D124" s="128"/>
      <c r="E124" s="125"/>
      <c r="F124" s="125"/>
      <c r="G124" s="131"/>
      <c r="H124" s="131"/>
      <c r="I124" s="137"/>
      <c r="J124" s="131"/>
      <c r="K124" s="131"/>
      <c r="L124" s="31">
        <v>5</v>
      </c>
      <c r="M124" s="32" t="s">
        <v>436</v>
      </c>
      <c r="N124" s="19" t="s">
        <v>431</v>
      </c>
      <c r="O124" s="17" t="s">
        <v>437</v>
      </c>
      <c r="P124" s="39" t="s">
        <v>640</v>
      </c>
      <c r="Q124" s="59"/>
      <c r="S124" s="2"/>
      <c r="T124" s="2"/>
    </row>
    <row r="125" spans="1:20" ht="34" customHeight="1">
      <c r="A125" s="166"/>
      <c r="B125" s="122"/>
      <c r="C125" s="122"/>
      <c r="D125" s="129"/>
      <c r="E125" s="126"/>
      <c r="F125" s="126"/>
      <c r="G125" s="132"/>
      <c r="H125" s="132"/>
      <c r="I125" s="138"/>
      <c r="J125" s="132"/>
      <c r="K125" s="132"/>
      <c r="L125" s="3">
        <v>6</v>
      </c>
      <c r="M125" s="5" t="s">
        <v>389</v>
      </c>
      <c r="N125" s="4" t="s">
        <v>438</v>
      </c>
      <c r="O125" s="6" t="s">
        <v>439</v>
      </c>
      <c r="P125" s="39" t="s">
        <v>640</v>
      </c>
      <c r="Q125" s="59"/>
      <c r="S125" s="2"/>
      <c r="T125" s="2"/>
    </row>
    <row r="126" spans="1:20" ht="34" customHeight="1">
      <c r="A126" s="166"/>
      <c r="B126" s="122"/>
      <c r="C126" s="122"/>
      <c r="D126" s="133" t="s">
        <v>29</v>
      </c>
      <c r="E126" s="130" t="s">
        <v>773</v>
      </c>
      <c r="F126" s="130" t="s">
        <v>96</v>
      </c>
      <c r="G126" s="130" t="s">
        <v>97</v>
      </c>
      <c r="H126" s="130" t="s">
        <v>237</v>
      </c>
      <c r="I126" s="136" t="s">
        <v>15</v>
      </c>
      <c r="J126" s="130" t="s">
        <v>98</v>
      </c>
      <c r="K126" s="130" t="s">
        <v>99</v>
      </c>
      <c r="L126" s="44">
        <v>1</v>
      </c>
      <c r="M126" s="32" t="s">
        <v>440</v>
      </c>
      <c r="N126" s="32" t="s">
        <v>441</v>
      </c>
      <c r="O126" s="17" t="s">
        <v>191</v>
      </c>
      <c r="P126" s="39" t="s">
        <v>640</v>
      </c>
      <c r="Q126" s="60"/>
      <c r="S126" s="2"/>
    </row>
    <row r="127" spans="1:20" ht="34" customHeight="1">
      <c r="A127" s="166"/>
      <c r="B127" s="122"/>
      <c r="C127" s="122"/>
      <c r="D127" s="134"/>
      <c r="E127" s="131"/>
      <c r="F127" s="131"/>
      <c r="G127" s="131"/>
      <c r="H127" s="131"/>
      <c r="I127" s="137"/>
      <c r="J127" s="131"/>
      <c r="K127" s="131"/>
      <c r="L127" s="31">
        <v>2</v>
      </c>
      <c r="M127" s="32" t="s">
        <v>442</v>
      </c>
      <c r="N127" s="16" t="s">
        <v>586</v>
      </c>
      <c r="O127" s="18" t="s">
        <v>587</v>
      </c>
      <c r="P127" s="39" t="s">
        <v>640</v>
      </c>
      <c r="Q127" s="59"/>
    </row>
    <row r="128" spans="1:20" ht="34" customHeight="1">
      <c r="A128" s="166"/>
      <c r="B128" s="122"/>
      <c r="C128" s="122"/>
      <c r="D128" s="134"/>
      <c r="E128" s="131"/>
      <c r="F128" s="131"/>
      <c r="G128" s="131"/>
      <c r="H128" s="131"/>
      <c r="I128" s="137"/>
      <c r="J128" s="131"/>
      <c r="K128" s="131"/>
      <c r="L128" s="31">
        <v>3</v>
      </c>
      <c r="M128" s="32" t="s">
        <v>443</v>
      </c>
      <c r="N128" s="19" t="s">
        <v>444</v>
      </c>
      <c r="O128" s="18" t="s">
        <v>588</v>
      </c>
      <c r="P128" s="39" t="s">
        <v>640</v>
      </c>
      <c r="Q128" s="59"/>
      <c r="S128" s="2"/>
    </row>
    <row r="129" spans="1:20" ht="34" customHeight="1">
      <c r="A129" s="166"/>
      <c r="B129" s="122"/>
      <c r="C129" s="122"/>
      <c r="D129" s="134"/>
      <c r="E129" s="131"/>
      <c r="F129" s="131"/>
      <c r="G129" s="131"/>
      <c r="H129" s="131"/>
      <c r="I129" s="137"/>
      <c r="J129" s="131"/>
      <c r="K129" s="131"/>
      <c r="L129" s="31">
        <v>4</v>
      </c>
      <c r="M129" s="32" t="s">
        <v>445</v>
      </c>
      <c r="N129" s="16" t="s">
        <v>589</v>
      </c>
      <c r="O129" s="17" t="s">
        <v>192</v>
      </c>
      <c r="P129" s="39" t="s">
        <v>640</v>
      </c>
      <c r="Q129" s="59"/>
      <c r="T129" s="2"/>
    </row>
    <row r="130" spans="1:20" ht="34" customHeight="1">
      <c r="A130" s="166"/>
      <c r="B130" s="122"/>
      <c r="C130" s="122"/>
      <c r="D130" s="134"/>
      <c r="E130" s="131"/>
      <c r="F130" s="131"/>
      <c r="G130" s="131"/>
      <c r="H130" s="131"/>
      <c r="I130" s="137"/>
      <c r="J130" s="131"/>
      <c r="K130" s="131"/>
      <c r="L130" s="31">
        <v>5</v>
      </c>
      <c r="M130" s="32" t="s">
        <v>389</v>
      </c>
      <c r="N130" s="19" t="s">
        <v>193</v>
      </c>
      <c r="O130" s="17" t="s">
        <v>302</v>
      </c>
      <c r="P130" s="39" t="s">
        <v>640</v>
      </c>
      <c r="Q130" s="59"/>
      <c r="S130" s="2"/>
      <c r="T130" s="2"/>
    </row>
    <row r="131" spans="1:20" ht="34" customHeight="1">
      <c r="A131" s="166"/>
      <c r="B131" s="122"/>
      <c r="C131" s="122"/>
      <c r="D131" s="134"/>
      <c r="E131" s="132"/>
      <c r="F131" s="132"/>
      <c r="G131" s="132"/>
      <c r="H131" s="132"/>
      <c r="I131" s="138"/>
      <c r="J131" s="132"/>
      <c r="K131" s="132"/>
      <c r="L131" s="31">
        <v>6</v>
      </c>
      <c r="M131" s="32" t="s">
        <v>446</v>
      </c>
      <c r="N131" s="16" t="s">
        <v>447</v>
      </c>
      <c r="O131" s="17" t="s">
        <v>448</v>
      </c>
      <c r="P131" s="39" t="s">
        <v>640</v>
      </c>
      <c r="Q131" s="59"/>
      <c r="T131" s="2"/>
    </row>
    <row r="132" spans="1:20" ht="34" customHeight="1">
      <c r="A132" s="166"/>
      <c r="B132" s="122"/>
      <c r="C132" s="122"/>
      <c r="D132" s="134"/>
      <c r="E132" s="130" t="s">
        <v>774</v>
      </c>
      <c r="F132" s="130" t="s">
        <v>100</v>
      </c>
      <c r="G132" s="130" t="s">
        <v>101</v>
      </c>
      <c r="H132" s="130" t="s">
        <v>238</v>
      </c>
      <c r="I132" s="136" t="s">
        <v>64</v>
      </c>
      <c r="J132" s="130" t="s">
        <v>102</v>
      </c>
      <c r="K132" s="130" t="s">
        <v>103</v>
      </c>
      <c r="L132" s="35">
        <v>1</v>
      </c>
      <c r="M132" s="36" t="s">
        <v>449</v>
      </c>
      <c r="N132" s="36" t="s">
        <v>450</v>
      </c>
      <c r="O132" s="12" t="s">
        <v>194</v>
      </c>
      <c r="P132" s="39" t="s">
        <v>640</v>
      </c>
      <c r="Q132" s="60"/>
    </row>
    <row r="133" spans="1:20" ht="34" customHeight="1">
      <c r="A133" s="166"/>
      <c r="B133" s="122"/>
      <c r="C133" s="122"/>
      <c r="D133" s="134"/>
      <c r="E133" s="131"/>
      <c r="F133" s="131"/>
      <c r="G133" s="131"/>
      <c r="H133" s="131"/>
      <c r="I133" s="137"/>
      <c r="J133" s="131"/>
      <c r="K133" s="131"/>
      <c r="L133" s="31">
        <v>2</v>
      </c>
      <c r="M133" s="32" t="s">
        <v>451</v>
      </c>
      <c r="N133" s="19" t="s">
        <v>452</v>
      </c>
      <c r="O133" s="18" t="s">
        <v>590</v>
      </c>
      <c r="P133" s="39" t="s">
        <v>640</v>
      </c>
      <c r="Q133" s="59"/>
      <c r="S133" s="2"/>
    </row>
    <row r="134" spans="1:20" ht="34" customHeight="1">
      <c r="A134" s="166"/>
      <c r="B134" s="122"/>
      <c r="C134" s="122"/>
      <c r="D134" s="134"/>
      <c r="E134" s="131"/>
      <c r="F134" s="131"/>
      <c r="G134" s="131"/>
      <c r="H134" s="131"/>
      <c r="I134" s="137"/>
      <c r="J134" s="131"/>
      <c r="K134" s="131"/>
      <c r="L134" s="31">
        <v>3</v>
      </c>
      <c r="M134" s="32" t="s">
        <v>453</v>
      </c>
      <c r="N134" s="16" t="s">
        <v>591</v>
      </c>
      <c r="O134" s="17" t="s">
        <v>195</v>
      </c>
      <c r="P134" s="39" t="s">
        <v>640</v>
      </c>
      <c r="Q134" s="59"/>
      <c r="T134" s="2"/>
    </row>
    <row r="135" spans="1:20" ht="34" customHeight="1">
      <c r="A135" s="166"/>
      <c r="B135" s="122"/>
      <c r="C135" s="122"/>
      <c r="D135" s="134"/>
      <c r="E135" s="131"/>
      <c r="F135" s="131"/>
      <c r="G135" s="131"/>
      <c r="H135" s="131"/>
      <c r="I135" s="137"/>
      <c r="J135" s="131"/>
      <c r="K135" s="131"/>
      <c r="L135" s="31">
        <v>4</v>
      </c>
      <c r="M135" s="32" t="s">
        <v>454</v>
      </c>
      <c r="N135" s="16" t="s">
        <v>455</v>
      </c>
      <c r="O135" s="18" t="s">
        <v>592</v>
      </c>
      <c r="P135" s="39" t="s">
        <v>640</v>
      </c>
      <c r="Q135" s="59"/>
    </row>
    <row r="136" spans="1:20" ht="34" customHeight="1">
      <c r="A136" s="166"/>
      <c r="B136" s="122"/>
      <c r="C136" s="122"/>
      <c r="D136" s="134"/>
      <c r="E136" s="131"/>
      <c r="F136" s="131"/>
      <c r="G136" s="131"/>
      <c r="H136" s="131"/>
      <c r="I136" s="137"/>
      <c r="J136" s="131"/>
      <c r="K136" s="131"/>
      <c r="L136" s="31">
        <v>5</v>
      </c>
      <c r="M136" s="32" t="s">
        <v>389</v>
      </c>
      <c r="N136" s="19" t="s">
        <v>196</v>
      </c>
      <c r="O136" s="18" t="s">
        <v>593</v>
      </c>
      <c r="P136" s="39" t="s">
        <v>640</v>
      </c>
      <c r="Q136" s="59"/>
      <c r="S136" s="2"/>
    </row>
    <row r="137" spans="1:20" ht="34" customHeight="1">
      <c r="A137" s="166"/>
      <c r="B137" s="122"/>
      <c r="C137" s="122"/>
      <c r="D137" s="134"/>
      <c r="E137" s="132"/>
      <c r="F137" s="132"/>
      <c r="G137" s="132"/>
      <c r="H137" s="132"/>
      <c r="I137" s="138"/>
      <c r="J137" s="132"/>
      <c r="K137" s="132"/>
      <c r="L137" s="3">
        <v>6</v>
      </c>
      <c r="M137" s="5" t="s">
        <v>446</v>
      </c>
      <c r="N137" s="4" t="s">
        <v>456</v>
      </c>
      <c r="O137" s="30" t="s">
        <v>594</v>
      </c>
      <c r="P137" s="39" t="s">
        <v>640</v>
      </c>
      <c r="Q137" s="59"/>
      <c r="S137" s="2"/>
    </row>
    <row r="138" spans="1:20" ht="34" customHeight="1">
      <c r="A138" s="166"/>
      <c r="B138" s="122"/>
      <c r="C138" s="122"/>
      <c r="D138" s="134"/>
      <c r="E138" s="130" t="s">
        <v>775</v>
      </c>
      <c r="F138" s="130" t="s">
        <v>104</v>
      </c>
      <c r="G138" s="130" t="s">
        <v>105</v>
      </c>
      <c r="H138" s="130" t="s">
        <v>239</v>
      </c>
      <c r="I138" s="136" t="s">
        <v>15</v>
      </c>
      <c r="J138" s="130" t="s">
        <v>106</v>
      </c>
      <c r="K138" s="130" t="s">
        <v>107</v>
      </c>
      <c r="L138" s="44">
        <v>1</v>
      </c>
      <c r="M138" s="32" t="s">
        <v>457</v>
      </c>
      <c r="N138" s="32" t="s">
        <v>197</v>
      </c>
      <c r="O138" s="17" t="s">
        <v>198</v>
      </c>
      <c r="P138" s="39" t="s">
        <v>640</v>
      </c>
      <c r="Q138" s="59"/>
    </row>
    <row r="139" spans="1:20" ht="34" customHeight="1">
      <c r="A139" s="166"/>
      <c r="B139" s="122"/>
      <c r="C139" s="122"/>
      <c r="D139" s="134"/>
      <c r="E139" s="131"/>
      <c r="F139" s="131"/>
      <c r="G139" s="131"/>
      <c r="H139" s="131"/>
      <c r="I139" s="137"/>
      <c r="J139" s="131"/>
      <c r="K139" s="131"/>
      <c r="L139" s="31">
        <v>2</v>
      </c>
      <c r="M139" s="32" t="s">
        <v>458</v>
      </c>
      <c r="N139" s="19" t="s">
        <v>459</v>
      </c>
      <c r="O139" s="17" t="s">
        <v>460</v>
      </c>
      <c r="P139" s="39" t="s">
        <v>640</v>
      </c>
      <c r="Q139" s="59"/>
      <c r="S139" s="2"/>
      <c r="T139" s="2"/>
    </row>
    <row r="140" spans="1:20" ht="34" customHeight="1">
      <c r="A140" s="166"/>
      <c r="B140" s="122"/>
      <c r="C140" s="122"/>
      <c r="D140" s="134"/>
      <c r="E140" s="131"/>
      <c r="F140" s="131"/>
      <c r="G140" s="131"/>
      <c r="H140" s="131"/>
      <c r="I140" s="137"/>
      <c r="J140" s="131"/>
      <c r="K140" s="131"/>
      <c r="L140" s="31">
        <v>3</v>
      </c>
      <c r="M140" s="32" t="s">
        <v>461</v>
      </c>
      <c r="N140" s="16" t="s">
        <v>513</v>
      </c>
      <c r="O140" s="17" t="s">
        <v>199</v>
      </c>
      <c r="P140" s="39" t="s">
        <v>640</v>
      </c>
      <c r="Q140" s="59"/>
      <c r="T140" s="2"/>
    </row>
    <row r="141" spans="1:20" ht="34" customHeight="1">
      <c r="A141" s="166"/>
      <c r="B141" s="122"/>
      <c r="C141" s="122"/>
      <c r="D141" s="134"/>
      <c r="E141" s="131"/>
      <c r="F141" s="131"/>
      <c r="G141" s="131"/>
      <c r="H141" s="131"/>
      <c r="I141" s="137"/>
      <c r="J141" s="131"/>
      <c r="K141" s="131"/>
      <c r="L141" s="31">
        <v>4</v>
      </c>
      <c r="M141" s="32" t="s">
        <v>462</v>
      </c>
      <c r="N141" s="19" t="s">
        <v>463</v>
      </c>
      <c r="O141" s="17" t="s">
        <v>464</v>
      </c>
      <c r="P141" s="39" t="s">
        <v>640</v>
      </c>
      <c r="Q141" s="59"/>
      <c r="S141" s="2"/>
      <c r="T141" s="2"/>
    </row>
    <row r="142" spans="1:20" ht="34" customHeight="1">
      <c r="A142" s="166"/>
      <c r="B142" s="122"/>
      <c r="C142" s="122"/>
      <c r="D142" s="134"/>
      <c r="E142" s="131"/>
      <c r="F142" s="131"/>
      <c r="G142" s="131"/>
      <c r="H142" s="131"/>
      <c r="I142" s="137"/>
      <c r="J142" s="131"/>
      <c r="K142" s="131"/>
      <c r="L142" s="31">
        <v>5</v>
      </c>
      <c r="M142" s="32" t="s">
        <v>465</v>
      </c>
      <c r="N142" s="16" t="s">
        <v>200</v>
      </c>
      <c r="O142" s="17" t="s">
        <v>466</v>
      </c>
      <c r="P142" s="39" t="s">
        <v>640</v>
      </c>
      <c r="Q142" s="59"/>
      <c r="T142" s="2"/>
    </row>
    <row r="143" spans="1:20" ht="34" customHeight="1">
      <c r="A143" s="166"/>
      <c r="B143" s="122"/>
      <c r="C143" s="122"/>
      <c r="D143" s="134"/>
      <c r="E143" s="131"/>
      <c r="F143" s="131"/>
      <c r="G143" s="131"/>
      <c r="H143" s="131"/>
      <c r="I143" s="137"/>
      <c r="J143" s="131"/>
      <c r="K143" s="131"/>
      <c r="L143" s="31">
        <v>6</v>
      </c>
      <c r="M143" s="32" t="s">
        <v>467</v>
      </c>
      <c r="N143" s="19" t="s">
        <v>468</v>
      </c>
      <c r="O143" s="17" t="s">
        <v>469</v>
      </c>
      <c r="P143" s="39" t="s">
        <v>640</v>
      </c>
      <c r="Q143" s="59"/>
      <c r="S143" s="2"/>
      <c r="T143" s="2"/>
    </row>
    <row r="144" spans="1:20" ht="34" customHeight="1">
      <c r="A144" s="166"/>
      <c r="B144" s="122"/>
      <c r="C144" s="122"/>
      <c r="D144" s="135"/>
      <c r="E144" s="132"/>
      <c r="F144" s="132"/>
      <c r="G144" s="132"/>
      <c r="H144" s="132"/>
      <c r="I144" s="138"/>
      <c r="J144" s="132"/>
      <c r="K144" s="132"/>
      <c r="L144" s="31">
        <v>7</v>
      </c>
      <c r="M144" s="32" t="s">
        <v>470</v>
      </c>
      <c r="N144" s="19" t="s">
        <v>471</v>
      </c>
      <c r="O144" s="17" t="s">
        <v>472</v>
      </c>
      <c r="P144" s="39" t="s">
        <v>640</v>
      </c>
      <c r="Q144" s="59"/>
      <c r="S144" s="2"/>
      <c r="T144" s="2"/>
    </row>
    <row r="145" spans="1:20" ht="34" customHeight="1">
      <c r="A145" s="166"/>
      <c r="B145" s="122"/>
      <c r="C145" s="122"/>
      <c r="D145" s="133" t="s">
        <v>108</v>
      </c>
      <c r="E145" s="130" t="s">
        <v>776</v>
      </c>
      <c r="F145" s="130" t="s">
        <v>109</v>
      </c>
      <c r="G145" s="130" t="s">
        <v>110</v>
      </c>
      <c r="H145" s="130" t="s">
        <v>240</v>
      </c>
      <c r="I145" s="136" t="s">
        <v>16</v>
      </c>
      <c r="J145" s="130" t="s">
        <v>111</v>
      </c>
      <c r="K145" s="130" t="s">
        <v>112</v>
      </c>
      <c r="L145" s="34">
        <v>1</v>
      </c>
      <c r="M145" s="36" t="s">
        <v>473</v>
      </c>
      <c r="N145" s="36" t="s">
        <v>474</v>
      </c>
      <c r="O145" s="12" t="s">
        <v>475</v>
      </c>
      <c r="P145" s="39" t="s">
        <v>640</v>
      </c>
      <c r="Q145" s="60"/>
      <c r="S145" s="2"/>
    </row>
    <row r="146" spans="1:20" ht="34" customHeight="1">
      <c r="A146" s="166"/>
      <c r="B146" s="122"/>
      <c r="C146" s="122"/>
      <c r="D146" s="134"/>
      <c r="E146" s="131"/>
      <c r="F146" s="131"/>
      <c r="G146" s="131"/>
      <c r="H146" s="131"/>
      <c r="I146" s="137"/>
      <c r="J146" s="131"/>
      <c r="K146" s="131"/>
      <c r="L146" s="31">
        <v>2</v>
      </c>
      <c r="M146" s="32" t="s">
        <v>476</v>
      </c>
      <c r="N146" s="16" t="s">
        <v>477</v>
      </c>
      <c r="O146" s="17" t="s">
        <v>478</v>
      </c>
      <c r="P146" s="39" t="s">
        <v>640</v>
      </c>
      <c r="Q146" s="59"/>
      <c r="T146" s="2"/>
    </row>
    <row r="147" spans="1:20" ht="34" customHeight="1">
      <c r="A147" s="166"/>
      <c r="B147" s="122"/>
      <c r="C147" s="122"/>
      <c r="D147" s="134"/>
      <c r="E147" s="131"/>
      <c r="F147" s="131"/>
      <c r="G147" s="131"/>
      <c r="H147" s="131"/>
      <c r="I147" s="137"/>
      <c r="J147" s="131"/>
      <c r="K147" s="131"/>
      <c r="L147" s="31">
        <v>3</v>
      </c>
      <c r="M147" s="32" t="s">
        <v>479</v>
      </c>
      <c r="N147" s="16" t="s">
        <v>595</v>
      </c>
      <c r="O147" s="17" t="s">
        <v>201</v>
      </c>
      <c r="P147" s="39" t="s">
        <v>640</v>
      </c>
      <c r="Q147" s="59"/>
      <c r="T147" s="2"/>
    </row>
    <row r="148" spans="1:20" ht="34" customHeight="1">
      <c r="A148" s="166"/>
      <c r="B148" s="122"/>
      <c r="C148" s="122"/>
      <c r="D148" s="134"/>
      <c r="E148" s="131"/>
      <c r="F148" s="131"/>
      <c r="G148" s="131"/>
      <c r="H148" s="131"/>
      <c r="I148" s="137"/>
      <c r="J148" s="131"/>
      <c r="K148" s="131"/>
      <c r="L148" s="31">
        <v>4</v>
      </c>
      <c r="M148" s="32" t="s">
        <v>480</v>
      </c>
      <c r="N148" s="19" t="s">
        <v>202</v>
      </c>
      <c r="O148" s="17" t="s">
        <v>481</v>
      </c>
      <c r="P148" s="39" t="s">
        <v>640</v>
      </c>
      <c r="Q148" s="59"/>
      <c r="S148" s="2"/>
      <c r="T148" s="2"/>
    </row>
    <row r="149" spans="1:20" ht="34" customHeight="1">
      <c r="A149" s="166"/>
      <c r="B149" s="122"/>
      <c r="C149" s="122"/>
      <c r="D149" s="134"/>
      <c r="E149" s="132"/>
      <c r="F149" s="132"/>
      <c r="G149" s="132"/>
      <c r="H149" s="132"/>
      <c r="I149" s="138"/>
      <c r="J149" s="132"/>
      <c r="K149" s="132"/>
      <c r="L149" s="3">
        <v>5</v>
      </c>
      <c r="M149" s="5" t="s">
        <v>482</v>
      </c>
      <c r="N149" s="4" t="s">
        <v>202</v>
      </c>
      <c r="O149" s="30" t="s">
        <v>596</v>
      </c>
      <c r="P149" s="39" t="s">
        <v>640</v>
      </c>
      <c r="Q149" s="59"/>
      <c r="S149" s="2"/>
    </row>
    <row r="150" spans="1:20" ht="34" customHeight="1">
      <c r="A150" s="166"/>
      <c r="B150" s="122"/>
      <c r="C150" s="122"/>
      <c r="D150" s="134"/>
      <c r="E150" s="130" t="s">
        <v>777</v>
      </c>
      <c r="F150" s="130" t="s">
        <v>113</v>
      </c>
      <c r="G150" s="130" t="s">
        <v>114</v>
      </c>
      <c r="H150" s="130" t="s">
        <v>241</v>
      </c>
      <c r="I150" s="136" t="s">
        <v>16</v>
      </c>
      <c r="J150" s="130" t="s">
        <v>115</v>
      </c>
      <c r="K150" s="130" t="s">
        <v>116</v>
      </c>
      <c r="L150" s="44">
        <v>1</v>
      </c>
      <c r="M150" s="32" t="s">
        <v>483</v>
      </c>
      <c r="N150" s="32" t="s">
        <v>484</v>
      </c>
      <c r="O150" s="17" t="s">
        <v>485</v>
      </c>
      <c r="P150" s="39" t="s">
        <v>640</v>
      </c>
      <c r="Q150" s="60"/>
      <c r="S150" s="2"/>
    </row>
    <row r="151" spans="1:20" ht="34" customHeight="1">
      <c r="A151" s="166"/>
      <c r="B151" s="122"/>
      <c r="C151" s="122"/>
      <c r="D151" s="134"/>
      <c r="E151" s="131"/>
      <c r="F151" s="131"/>
      <c r="G151" s="131"/>
      <c r="H151" s="131"/>
      <c r="I151" s="137"/>
      <c r="J151" s="131"/>
      <c r="K151" s="131"/>
      <c r="L151" s="31">
        <v>2</v>
      </c>
      <c r="M151" s="32" t="s">
        <v>486</v>
      </c>
      <c r="N151" s="16" t="s">
        <v>487</v>
      </c>
      <c r="O151" s="17" t="s">
        <v>203</v>
      </c>
      <c r="P151" s="39" t="s">
        <v>640</v>
      </c>
      <c r="Q151" s="59"/>
      <c r="T151" s="2"/>
    </row>
    <row r="152" spans="1:20" ht="34" customHeight="1">
      <c r="A152" s="166"/>
      <c r="B152" s="122"/>
      <c r="C152" s="122"/>
      <c r="D152" s="134"/>
      <c r="E152" s="131"/>
      <c r="F152" s="131"/>
      <c r="G152" s="131"/>
      <c r="H152" s="131"/>
      <c r="I152" s="137"/>
      <c r="J152" s="131"/>
      <c r="K152" s="131"/>
      <c r="L152" s="31">
        <v>3</v>
      </c>
      <c r="M152" s="32" t="s">
        <v>479</v>
      </c>
      <c r="N152" s="16" t="s">
        <v>597</v>
      </c>
      <c r="O152" s="17" t="s">
        <v>201</v>
      </c>
      <c r="P152" s="39" t="s">
        <v>640</v>
      </c>
      <c r="Q152" s="59"/>
      <c r="T152" s="2"/>
    </row>
    <row r="153" spans="1:20" ht="34" customHeight="1">
      <c r="A153" s="166"/>
      <c r="B153" s="122"/>
      <c r="C153" s="122"/>
      <c r="D153" s="134"/>
      <c r="E153" s="131"/>
      <c r="F153" s="131"/>
      <c r="G153" s="131"/>
      <c r="H153" s="131"/>
      <c r="I153" s="137"/>
      <c r="J153" s="131"/>
      <c r="K153" s="131"/>
      <c r="L153" s="31">
        <v>4</v>
      </c>
      <c r="M153" s="32" t="s">
        <v>488</v>
      </c>
      <c r="N153" s="19" t="s">
        <v>202</v>
      </c>
      <c r="O153" s="17" t="s">
        <v>489</v>
      </c>
      <c r="P153" s="39" t="s">
        <v>640</v>
      </c>
      <c r="Q153" s="59"/>
      <c r="S153" s="2"/>
      <c r="T153" s="2"/>
    </row>
    <row r="154" spans="1:20" ht="34" customHeight="1">
      <c r="A154" s="166"/>
      <c r="B154" s="122"/>
      <c r="C154" s="122"/>
      <c r="D154" s="134"/>
      <c r="E154" s="132"/>
      <c r="F154" s="132"/>
      <c r="G154" s="132"/>
      <c r="H154" s="132"/>
      <c r="I154" s="138"/>
      <c r="J154" s="132"/>
      <c r="K154" s="132"/>
      <c r="L154" s="31">
        <v>5</v>
      </c>
      <c r="M154" s="33" t="s">
        <v>490</v>
      </c>
      <c r="N154" s="19" t="s">
        <v>202</v>
      </c>
      <c r="O154" s="17" t="s">
        <v>204</v>
      </c>
      <c r="P154" s="39" t="s">
        <v>640</v>
      </c>
      <c r="Q154" s="60"/>
      <c r="S154" s="2"/>
      <c r="T154" s="2"/>
    </row>
    <row r="155" spans="1:20" ht="34" customHeight="1">
      <c r="A155" s="166"/>
      <c r="B155" s="122"/>
      <c r="C155" s="122"/>
      <c r="D155" s="134"/>
      <c r="E155" s="130" t="s">
        <v>778</v>
      </c>
      <c r="F155" s="130" t="s">
        <v>117</v>
      </c>
      <c r="G155" s="130" t="s">
        <v>118</v>
      </c>
      <c r="H155" s="130" t="s">
        <v>242</v>
      </c>
      <c r="I155" s="136" t="s">
        <v>16</v>
      </c>
      <c r="J155" s="130" t="s">
        <v>119</v>
      </c>
      <c r="K155" s="130" t="s">
        <v>120</v>
      </c>
      <c r="L155" s="35">
        <v>1</v>
      </c>
      <c r="M155" s="36" t="s">
        <v>491</v>
      </c>
      <c r="N155" s="36" t="s">
        <v>205</v>
      </c>
      <c r="O155" s="12" t="s">
        <v>492</v>
      </c>
      <c r="P155" s="39" t="s">
        <v>640</v>
      </c>
      <c r="Q155" s="60"/>
      <c r="S155" s="2"/>
    </row>
    <row r="156" spans="1:20" ht="34" customHeight="1">
      <c r="A156" s="166"/>
      <c r="B156" s="122"/>
      <c r="C156" s="122"/>
      <c r="D156" s="134"/>
      <c r="E156" s="131"/>
      <c r="F156" s="131"/>
      <c r="G156" s="131"/>
      <c r="H156" s="131"/>
      <c r="I156" s="137"/>
      <c r="J156" s="131"/>
      <c r="K156" s="131"/>
      <c r="L156" s="31">
        <v>2</v>
      </c>
      <c r="M156" s="32" t="s">
        <v>493</v>
      </c>
      <c r="N156" s="16" t="s">
        <v>598</v>
      </c>
      <c r="O156" s="17" t="s">
        <v>494</v>
      </c>
      <c r="P156" s="39" t="s">
        <v>640</v>
      </c>
      <c r="Q156" s="59"/>
      <c r="T156" s="2"/>
    </row>
    <row r="157" spans="1:20" ht="34" customHeight="1">
      <c r="A157" s="166"/>
      <c r="B157" s="122"/>
      <c r="C157" s="122"/>
      <c r="D157" s="134"/>
      <c r="E157" s="131"/>
      <c r="F157" s="131"/>
      <c r="G157" s="131"/>
      <c r="H157" s="131"/>
      <c r="I157" s="137"/>
      <c r="J157" s="131"/>
      <c r="K157" s="131"/>
      <c r="L157" s="31">
        <v>3</v>
      </c>
      <c r="M157" s="32" t="s">
        <v>495</v>
      </c>
      <c r="N157" s="16" t="s">
        <v>599</v>
      </c>
      <c r="O157" s="17" t="s">
        <v>206</v>
      </c>
      <c r="P157" s="39" t="s">
        <v>640</v>
      </c>
      <c r="Q157" s="59"/>
      <c r="T157" s="2"/>
    </row>
    <row r="158" spans="1:20" ht="34" customHeight="1">
      <c r="A158" s="166"/>
      <c r="B158" s="122"/>
      <c r="C158" s="122"/>
      <c r="D158" s="134"/>
      <c r="E158" s="131"/>
      <c r="F158" s="131"/>
      <c r="G158" s="131"/>
      <c r="H158" s="131"/>
      <c r="I158" s="137"/>
      <c r="J158" s="131"/>
      <c r="K158" s="131"/>
      <c r="L158" s="31">
        <v>4</v>
      </c>
      <c r="M158" s="32" t="s">
        <v>496</v>
      </c>
      <c r="N158" s="19" t="s">
        <v>202</v>
      </c>
      <c r="O158" s="17" t="s">
        <v>207</v>
      </c>
      <c r="P158" s="39" t="s">
        <v>640</v>
      </c>
      <c r="Q158" s="59"/>
      <c r="S158" s="2"/>
      <c r="T158" s="2"/>
    </row>
    <row r="159" spans="1:20" ht="34" customHeight="1">
      <c r="A159" s="166"/>
      <c r="B159" s="122"/>
      <c r="C159" s="122"/>
      <c r="D159" s="135"/>
      <c r="E159" s="132"/>
      <c r="F159" s="132"/>
      <c r="G159" s="132"/>
      <c r="H159" s="132"/>
      <c r="I159" s="138"/>
      <c r="J159" s="132"/>
      <c r="K159" s="132"/>
      <c r="L159" s="3">
        <v>5</v>
      </c>
      <c r="M159" s="5" t="s">
        <v>497</v>
      </c>
      <c r="N159" s="4" t="s">
        <v>498</v>
      </c>
      <c r="O159" s="6" t="s">
        <v>499</v>
      </c>
      <c r="P159" s="39" t="s">
        <v>640</v>
      </c>
      <c r="Q159" s="59"/>
      <c r="S159" s="2"/>
      <c r="T159" s="2"/>
    </row>
    <row r="160" spans="1:20" ht="34" customHeight="1">
      <c r="A160" s="166"/>
      <c r="B160" s="122"/>
      <c r="C160" s="122"/>
      <c r="D160" s="133" t="s">
        <v>121</v>
      </c>
      <c r="E160" s="130" t="s">
        <v>779</v>
      </c>
      <c r="F160" s="130" t="s">
        <v>122</v>
      </c>
      <c r="G160" s="130" t="s">
        <v>123</v>
      </c>
      <c r="H160" s="130" t="s">
        <v>243</v>
      </c>
      <c r="I160" s="136" t="s">
        <v>64</v>
      </c>
      <c r="J160" s="130" t="s">
        <v>124</v>
      </c>
      <c r="K160" s="130" t="s">
        <v>125</v>
      </c>
      <c r="L160" s="44">
        <v>1</v>
      </c>
      <c r="M160" s="32" t="s">
        <v>500</v>
      </c>
      <c r="N160" s="32" t="s">
        <v>501</v>
      </c>
      <c r="O160" s="17" t="s">
        <v>502</v>
      </c>
      <c r="P160" s="39" t="s">
        <v>640</v>
      </c>
      <c r="Q160" s="60"/>
      <c r="S160" s="2"/>
    </row>
    <row r="161" spans="1:20" ht="34" customHeight="1">
      <c r="A161" s="166"/>
      <c r="B161" s="122"/>
      <c r="C161" s="122"/>
      <c r="D161" s="134"/>
      <c r="E161" s="131"/>
      <c r="F161" s="131"/>
      <c r="G161" s="131"/>
      <c r="H161" s="131"/>
      <c r="I161" s="137"/>
      <c r="J161" s="131"/>
      <c r="K161" s="131"/>
      <c r="L161" s="31">
        <v>2</v>
      </c>
      <c r="M161" s="32" t="s">
        <v>503</v>
      </c>
      <c r="N161" s="16" t="s">
        <v>513</v>
      </c>
      <c r="O161" s="17" t="s">
        <v>504</v>
      </c>
      <c r="P161" s="39" t="s">
        <v>640</v>
      </c>
      <c r="Q161" s="59"/>
      <c r="T161" s="2"/>
    </row>
    <row r="162" spans="1:20" ht="34" customHeight="1">
      <c r="A162" s="166"/>
      <c r="B162" s="122"/>
      <c r="C162" s="122"/>
      <c r="D162" s="134"/>
      <c r="E162" s="131"/>
      <c r="F162" s="131"/>
      <c r="G162" s="131"/>
      <c r="H162" s="131"/>
      <c r="I162" s="137"/>
      <c r="J162" s="131"/>
      <c r="K162" s="131"/>
      <c r="L162" s="31">
        <v>3</v>
      </c>
      <c r="M162" s="32" t="s">
        <v>505</v>
      </c>
      <c r="N162" s="16" t="s">
        <v>531</v>
      </c>
      <c r="O162" s="17" t="s">
        <v>506</v>
      </c>
      <c r="P162" s="39" t="s">
        <v>640</v>
      </c>
      <c r="Q162" s="59"/>
      <c r="T162" s="2"/>
    </row>
    <row r="163" spans="1:20" ht="34" customHeight="1">
      <c r="A163" s="166"/>
      <c r="B163" s="122"/>
      <c r="C163" s="122"/>
      <c r="D163" s="134"/>
      <c r="E163" s="131"/>
      <c r="F163" s="131"/>
      <c r="G163" s="131"/>
      <c r="H163" s="131"/>
      <c r="I163" s="137"/>
      <c r="J163" s="131"/>
      <c r="K163" s="131"/>
      <c r="L163" s="31">
        <v>4</v>
      </c>
      <c r="M163" s="32" t="s">
        <v>507</v>
      </c>
      <c r="N163" s="16" t="s">
        <v>600</v>
      </c>
      <c r="O163" s="17" t="s">
        <v>508</v>
      </c>
      <c r="P163" s="39" t="s">
        <v>640</v>
      </c>
      <c r="Q163" s="59"/>
      <c r="T163" s="2"/>
    </row>
    <row r="164" spans="1:20" ht="34" customHeight="1">
      <c r="A164" s="166"/>
      <c r="B164" s="122"/>
      <c r="C164" s="122"/>
      <c r="D164" s="134"/>
      <c r="E164" s="131"/>
      <c r="F164" s="131"/>
      <c r="G164" s="131"/>
      <c r="H164" s="131"/>
      <c r="I164" s="137"/>
      <c r="J164" s="131"/>
      <c r="K164" s="131"/>
      <c r="L164" s="31">
        <v>5</v>
      </c>
      <c r="M164" s="32" t="s">
        <v>388</v>
      </c>
      <c r="N164" s="16" t="s">
        <v>167</v>
      </c>
      <c r="O164" s="17" t="s">
        <v>175</v>
      </c>
      <c r="P164" s="39" t="s">
        <v>640</v>
      </c>
      <c r="Q164" s="59"/>
      <c r="T164" s="2"/>
    </row>
    <row r="165" spans="1:20" ht="34" customHeight="1">
      <c r="A165" s="166"/>
      <c r="B165" s="122"/>
      <c r="C165" s="122"/>
      <c r="D165" s="134"/>
      <c r="E165" s="131"/>
      <c r="F165" s="131"/>
      <c r="G165" s="131"/>
      <c r="H165" s="131"/>
      <c r="I165" s="137"/>
      <c r="J165" s="131"/>
      <c r="K165" s="131"/>
      <c r="L165" s="31">
        <v>6</v>
      </c>
      <c r="M165" s="32" t="s">
        <v>509</v>
      </c>
      <c r="N165" s="19" t="s">
        <v>208</v>
      </c>
      <c r="O165" s="17" t="s">
        <v>510</v>
      </c>
      <c r="P165" s="39" t="s">
        <v>640</v>
      </c>
      <c r="Q165" s="59"/>
      <c r="S165" s="2"/>
      <c r="T165" s="2"/>
    </row>
    <row r="166" spans="1:20" ht="34" customHeight="1">
      <c r="A166" s="166"/>
      <c r="B166" s="122"/>
      <c r="C166" s="122"/>
      <c r="D166" s="134"/>
      <c r="E166" s="132"/>
      <c r="F166" s="132"/>
      <c r="G166" s="132"/>
      <c r="H166" s="132"/>
      <c r="I166" s="138"/>
      <c r="J166" s="132"/>
      <c r="K166" s="132"/>
      <c r="L166" s="31">
        <v>7</v>
      </c>
      <c r="M166" s="32" t="s">
        <v>511</v>
      </c>
      <c r="N166" s="19" t="s">
        <v>391</v>
      </c>
      <c r="O166" s="17" t="s">
        <v>512</v>
      </c>
      <c r="P166" s="39" t="s">
        <v>640</v>
      </c>
      <c r="Q166" s="59"/>
      <c r="S166" s="2"/>
      <c r="T166" s="2"/>
    </row>
    <row r="167" spans="1:20" ht="34" customHeight="1">
      <c r="A167" s="166"/>
      <c r="B167" s="122"/>
      <c r="C167" s="122"/>
      <c r="D167" s="134"/>
      <c r="E167" s="136" t="s">
        <v>780</v>
      </c>
      <c r="F167" s="130" t="s">
        <v>126</v>
      </c>
      <c r="G167" s="130" t="s">
        <v>127</v>
      </c>
      <c r="H167" s="130" t="s">
        <v>244</v>
      </c>
      <c r="I167" s="136" t="s">
        <v>64</v>
      </c>
      <c r="J167" s="130" t="s">
        <v>65</v>
      </c>
      <c r="K167" s="130" t="s">
        <v>128</v>
      </c>
      <c r="L167" s="35">
        <v>1</v>
      </c>
      <c r="M167" s="36" t="s">
        <v>601</v>
      </c>
      <c r="N167" s="36" t="s">
        <v>501</v>
      </c>
      <c r="O167" s="12" t="s">
        <v>502</v>
      </c>
      <c r="P167" s="39" t="s">
        <v>640</v>
      </c>
      <c r="Q167" s="60"/>
      <c r="S167" s="2"/>
    </row>
    <row r="168" spans="1:20" ht="34" customHeight="1">
      <c r="A168" s="166"/>
      <c r="B168" s="122"/>
      <c r="C168" s="122"/>
      <c r="D168" s="134"/>
      <c r="E168" s="137"/>
      <c r="F168" s="131"/>
      <c r="G168" s="131"/>
      <c r="H168" s="131"/>
      <c r="I168" s="137"/>
      <c r="J168" s="131"/>
      <c r="K168" s="131"/>
      <c r="L168" s="31">
        <v>2</v>
      </c>
      <c r="M168" s="32" t="s">
        <v>602</v>
      </c>
      <c r="N168" s="16" t="s">
        <v>513</v>
      </c>
      <c r="O168" s="18" t="s">
        <v>514</v>
      </c>
      <c r="P168" s="39" t="s">
        <v>640</v>
      </c>
      <c r="Q168" s="59"/>
    </row>
    <row r="169" spans="1:20" ht="34" customHeight="1">
      <c r="A169" s="166"/>
      <c r="B169" s="122"/>
      <c r="C169" s="122"/>
      <c r="D169" s="134"/>
      <c r="E169" s="137"/>
      <c r="F169" s="131"/>
      <c r="G169" s="131"/>
      <c r="H169" s="131"/>
      <c r="I169" s="137"/>
      <c r="J169" s="131"/>
      <c r="K169" s="131"/>
      <c r="L169" s="31">
        <v>3</v>
      </c>
      <c r="M169" s="32" t="s">
        <v>505</v>
      </c>
      <c r="N169" s="16" t="s">
        <v>515</v>
      </c>
      <c r="O169" s="17" t="s">
        <v>506</v>
      </c>
      <c r="P169" s="39" t="s">
        <v>640</v>
      </c>
      <c r="Q169" s="59"/>
      <c r="T169" s="2"/>
    </row>
    <row r="170" spans="1:20" ht="34" customHeight="1">
      <c r="A170" s="166"/>
      <c r="B170" s="122"/>
      <c r="C170" s="122"/>
      <c r="D170" s="134"/>
      <c r="E170" s="137"/>
      <c r="F170" s="131"/>
      <c r="G170" s="131"/>
      <c r="H170" s="131"/>
      <c r="I170" s="137"/>
      <c r="J170" s="131"/>
      <c r="K170" s="131"/>
      <c r="L170" s="31">
        <v>4</v>
      </c>
      <c r="M170" s="32" t="s">
        <v>603</v>
      </c>
      <c r="N170" s="19" t="s">
        <v>516</v>
      </c>
      <c r="O170" s="17" t="s">
        <v>370</v>
      </c>
      <c r="P170" s="39" t="s">
        <v>640</v>
      </c>
      <c r="Q170" s="59"/>
      <c r="S170" s="2"/>
      <c r="T170" s="2"/>
    </row>
    <row r="171" spans="1:20" ht="34" customHeight="1">
      <c r="A171" s="166"/>
      <c r="B171" s="122"/>
      <c r="C171" s="122"/>
      <c r="D171" s="134"/>
      <c r="E171" s="137"/>
      <c r="F171" s="131"/>
      <c r="G171" s="131"/>
      <c r="H171" s="131"/>
      <c r="I171" s="137"/>
      <c r="J171" s="131"/>
      <c r="K171" s="131"/>
      <c r="L171" s="31">
        <v>5</v>
      </c>
      <c r="M171" s="32" t="s">
        <v>388</v>
      </c>
      <c r="N171" s="16" t="s">
        <v>167</v>
      </c>
      <c r="O171" s="17" t="s">
        <v>168</v>
      </c>
      <c r="P171" s="39" t="s">
        <v>640</v>
      </c>
      <c r="Q171" s="59"/>
      <c r="T171" s="2"/>
    </row>
    <row r="172" spans="1:20" ht="34" customHeight="1">
      <c r="A172" s="166"/>
      <c r="B172" s="122"/>
      <c r="C172" s="122"/>
      <c r="D172" s="134"/>
      <c r="E172" s="137"/>
      <c r="F172" s="131"/>
      <c r="G172" s="131"/>
      <c r="H172" s="131"/>
      <c r="I172" s="137"/>
      <c r="J172" s="131"/>
      <c r="K172" s="131"/>
      <c r="L172" s="31">
        <v>6</v>
      </c>
      <c r="M172" s="32" t="s">
        <v>604</v>
      </c>
      <c r="N172" s="19" t="s">
        <v>517</v>
      </c>
      <c r="O172" s="17" t="s">
        <v>518</v>
      </c>
      <c r="P172" s="39" t="s">
        <v>640</v>
      </c>
      <c r="Q172" s="59"/>
      <c r="S172" s="2"/>
      <c r="T172" s="2"/>
    </row>
    <row r="173" spans="1:20" ht="34" customHeight="1">
      <c r="A173" s="166"/>
      <c r="B173" s="122"/>
      <c r="C173" s="122"/>
      <c r="D173" s="134"/>
      <c r="E173" s="137"/>
      <c r="F173" s="131"/>
      <c r="G173" s="131"/>
      <c r="H173" s="131"/>
      <c r="I173" s="137"/>
      <c r="J173" s="131"/>
      <c r="K173" s="131"/>
      <c r="L173" s="31">
        <v>7</v>
      </c>
      <c r="M173" s="32" t="s">
        <v>605</v>
      </c>
      <c r="N173" s="19" t="s">
        <v>519</v>
      </c>
      <c r="O173" s="17" t="s">
        <v>520</v>
      </c>
      <c r="P173" s="39" t="s">
        <v>640</v>
      </c>
      <c r="Q173" s="59"/>
      <c r="S173" s="2"/>
      <c r="T173" s="2"/>
    </row>
    <row r="174" spans="1:20" ht="34" customHeight="1">
      <c r="A174" s="166"/>
      <c r="B174" s="122"/>
      <c r="C174" s="122"/>
      <c r="D174" s="134"/>
      <c r="E174" s="138"/>
      <c r="F174" s="132"/>
      <c r="G174" s="132"/>
      <c r="H174" s="132"/>
      <c r="I174" s="138"/>
      <c r="J174" s="132"/>
      <c r="K174" s="132"/>
      <c r="L174" s="3">
        <v>8</v>
      </c>
      <c r="M174" s="5" t="s">
        <v>606</v>
      </c>
      <c r="N174" s="29" t="s">
        <v>521</v>
      </c>
      <c r="O174" s="6" t="s">
        <v>522</v>
      </c>
      <c r="P174" s="39" t="s">
        <v>640</v>
      </c>
      <c r="Q174" s="59"/>
      <c r="T174" s="2"/>
    </row>
    <row r="175" spans="1:20" ht="34" customHeight="1">
      <c r="A175" s="166"/>
      <c r="B175" s="122"/>
      <c r="C175" s="122"/>
      <c r="D175" s="134"/>
      <c r="E175" s="130" t="s">
        <v>781</v>
      </c>
      <c r="F175" s="130" t="s">
        <v>129</v>
      </c>
      <c r="G175" s="130" t="s">
        <v>130</v>
      </c>
      <c r="H175" s="130" t="s">
        <v>245</v>
      </c>
      <c r="I175" s="136" t="s">
        <v>64</v>
      </c>
      <c r="J175" s="130" t="s">
        <v>131</v>
      </c>
      <c r="K175" s="130" t="s">
        <v>132</v>
      </c>
      <c r="L175" s="44">
        <v>1</v>
      </c>
      <c r="M175" s="32" t="s">
        <v>393</v>
      </c>
      <c r="N175" s="32" t="s">
        <v>523</v>
      </c>
      <c r="O175" s="17" t="s">
        <v>524</v>
      </c>
      <c r="P175" s="39" t="s">
        <v>640</v>
      </c>
      <c r="Q175" s="60"/>
      <c r="S175" s="2"/>
    </row>
    <row r="176" spans="1:20" ht="34" customHeight="1">
      <c r="A176" s="166"/>
      <c r="B176" s="122"/>
      <c r="C176" s="122"/>
      <c r="D176" s="134"/>
      <c r="E176" s="131"/>
      <c r="F176" s="131"/>
      <c r="G176" s="131"/>
      <c r="H176" s="131"/>
      <c r="I176" s="137"/>
      <c r="J176" s="131"/>
      <c r="K176" s="131"/>
      <c r="L176" s="31">
        <v>2</v>
      </c>
      <c r="M176" s="32" t="s">
        <v>607</v>
      </c>
      <c r="N176" s="16" t="s">
        <v>525</v>
      </c>
      <c r="O176" s="17" t="s">
        <v>526</v>
      </c>
      <c r="P176" s="39" t="s">
        <v>640</v>
      </c>
      <c r="Q176" s="59"/>
      <c r="T176" s="2"/>
    </row>
    <row r="177" spans="1:20" ht="34" customHeight="1">
      <c r="A177" s="166"/>
      <c r="B177" s="122"/>
      <c r="C177" s="122"/>
      <c r="D177" s="134"/>
      <c r="E177" s="131"/>
      <c r="F177" s="131"/>
      <c r="G177" s="131"/>
      <c r="H177" s="131"/>
      <c r="I177" s="137"/>
      <c r="J177" s="131"/>
      <c r="K177" s="131"/>
      <c r="L177" s="31">
        <v>3</v>
      </c>
      <c r="M177" s="32" t="s">
        <v>608</v>
      </c>
      <c r="N177" s="16" t="s">
        <v>527</v>
      </c>
      <c r="O177" s="17" t="s">
        <v>528</v>
      </c>
      <c r="P177" s="39" t="s">
        <v>640</v>
      </c>
      <c r="Q177" s="59"/>
      <c r="T177" s="2"/>
    </row>
    <row r="178" spans="1:20" ht="34" customHeight="1">
      <c r="A178" s="166"/>
      <c r="B178" s="122"/>
      <c r="C178" s="122"/>
      <c r="D178" s="134"/>
      <c r="E178" s="131"/>
      <c r="F178" s="131"/>
      <c r="G178" s="131"/>
      <c r="H178" s="131"/>
      <c r="I178" s="137"/>
      <c r="J178" s="131"/>
      <c r="K178" s="131"/>
      <c r="L178" s="31">
        <v>4</v>
      </c>
      <c r="M178" s="32" t="s">
        <v>609</v>
      </c>
      <c r="N178" s="16" t="s">
        <v>529</v>
      </c>
      <c r="O178" s="17" t="s">
        <v>530</v>
      </c>
      <c r="P178" s="39" t="s">
        <v>640</v>
      </c>
      <c r="Q178" s="59"/>
      <c r="T178" s="2"/>
    </row>
    <row r="179" spans="1:20" ht="34" customHeight="1">
      <c r="A179" s="166"/>
      <c r="B179" s="122"/>
      <c r="C179" s="122"/>
      <c r="D179" s="134"/>
      <c r="E179" s="131"/>
      <c r="F179" s="131"/>
      <c r="G179" s="131"/>
      <c r="H179" s="131"/>
      <c r="I179" s="137"/>
      <c r="J179" s="131"/>
      <c r="K179" s="131"/>
      <c r="L179" s="31">
        <v>5</v>
      </c>
      <c r="M179" s="32" t="s">
        <v>610</v>
      </c>
      <c r="N179" s="16" t="s">
        <v>531</v>
      </c>
      <c r="O179" s="17" t="s">
        <v>532</v>
      </c>
      <c r="P179" s="39" t="s">
        <v>640</v>
      </c>
      <c r="Q179" s="59"/>
      <c r="T179" s="2"/>
    </row>
    <row r="180" spans="1:20" ht="34" customHeight="1">
      <c r="A180" s="166"/>
      <c r="B180" s="122"/>
      <c r="C180" s="122"/>
      <c r="D180" s="134"/>
      <c r="E180" s="131"/>
      <c r="F180" s="131"/>
      <c r="G180" s="131"/>
      <c r="H180" s="131"/>
      <c r="I180" s="137"/>
      <c r="J180" s="131"/>
      <c r="K180" s="131"/>
      <c r="L180" s="31">
        <v>6</v>
      </c>
      <c r="M180" s="32" t="s">
        <v>611</v>
      </c>
      <c r="N180" s="16" t="s">
        <v>167</v>
      </c>
      <c r="O180" s="17" t="s">
        <v>168</v>
      </c>
      <c r="P180" s="39" t="s">
        <v>640</v>
      </c>
      <c r="Q180" s="59"/>
      <c r="T180" s="2"/>
    </row>
    <row r="181" spans="1:20" ht="34" customHeight="1">
      <c r="A181" s="166"/>
      <c r="B181" s="122"/>
      <c r="C181" s="122"/>
      <c r="D181" s="134"/>
      <c r="E181" s="131"/>
      <c r="F181" s="131"/>
      <c r="G181" s="131"/>
      <c r="H181" s="131"/>
      <c r="I181" s="137"/>
      <c r="J181" s="131"/>
      <c r="K181" s="131"/>
      <c r="L181" s="31">
        <v>7</v>
      </c>
      <c r="M181" s="32" t="s">
        <v>612</v>
      </c>
      <c r="N181" s="16" t="s">
        <v>533</v>
      </c>
      <c r="O181" s="17" t="s">
        <v>534</v>
      </c>
      <c r="P181" s="39" t="s">
        <v>640</v>
      </c>
      <c r="Q181" s="59"/>
      <c r="T181" s="2"/>
    </row>
    <row r="182" spans="1:20" ht="34" customHeight="1">
      <c r="A182" s="166"/>
      <c r="B182" s="122"/>
      <c r="C182" s="122"/>
      <c r="D182" s="135"/>
      <c r="E182" s="132"/>
      <c r="F182" s="132"/>
      <c r="G182" s="132"/>
      <c r="H182" s="132"/>
      <c r="I182" s="138"/>
      <c r="J182" s="132"/>
      <c r="K182" s="132"/>
      <c r="L182" s="31">
        <v>8</v>
      </c>
      <c r="M182" s="32" t="s">
        <v>613</v>
      </c>
      <c r="N182" s="16" t="s">
        <v>535</v>
      </c>
      <c r="O182" s="18" t="s">
        <v>536</v>
      </c>
      <c r="P182" s="39" t="s">
        <v>640</v>
      </c>
      <c r="Q182" s="59"/>
    </row>
    <row r="183" spans="1:20" ht="34" customHeight="1">
      <c r="A183" s="166"/>
      <c r="B183" s="122"/>
      <c r="C183" s="122"/>
      <c r="D183" s="139" t="s">
        <v>614</v>
      </c>
      <c r="E183" s="130" t="s">
        <v>782</v>
      </c>
      <c r="F183" s="130" t="s">
        <v>133</v>
      </c>
      <c r="G183" s="130" t="s">
        <v>134</v>
      </c>
      <c r="H183" s="130" t="s">
        <v>246</v>
      </c>
      <c r="I183" s="136" t="s">
        <v>16</v>
      </c>
      <c r="J183" s="130" t="s">
        <v>135</v>
      </c>
      <c r="K183" s="130" t="s">
        <v>143</v>
      </c>
      <c r="L183" s="35">
        <v>1</v>
      </c>
      <c r="M183" s="36" t="s">
        <v>615</v>
      </c>
      <c r="N183" s="36" t="s">
        <v>665</v>
      </c>
      <c r="O183" s="12" t="s">
        <v>209</v>
      </c>
      <c r="P183" s="39" t="s">
        <v>640</v>
      </c>
      <c r="Q183" s="60"/>
      <c r="S183" s="2"/>
    </row>
    <row r="184" spans="1:20" ht="34" customHeight="1">
      <c r="A184" s="166"/>
      <c r="B184" s="122"/>
      <c r="C184" s="122"/>
      <c r="D184" s="140"/>
      <c r="E184" s="131"/>
      <c r="F184" s="131"/>
      <c r="G184" s="131"/>
      <c r="H184" s="131"/>
      <c r="I184" s="137"/>
      <c r="J184" s="131"/>
      <c r="K184" s="131"/>
      <c r="L184" s="31">
        <v>2</v>
      </c>
      <c r="M184" s="32" t="s">
        <v>616</v>
      </c>
      <c r="N184" s="19" t="s">
        <v>537</v>
      </c>
      <c r="O184" s="17" t="s">
        <v>538</v>
      </c>
      <c r="P184" s="39" t="s">
        <v>640</v>
      </c>
      <c r="Q184" s="59"/>
      <c r="S184" s="2"/>
      <c r="T184" s="2"/>
    </row>
    <row r="185" spans="1:20" ht="34" customHeight="1">
      <c r="A185" s="166"/>
      <c r="B185" s="122"/>
      <c r="C185" s="122"/>
      <c r="D185" s="140"/>
      <c r="E185" s="131"/>
      <c r="F185" s="131"/>
      <c r="G185" s="131"/>
      <c r="H185" s="131"/>
      <c r="I185" s="137"/>
      <c r="J185" s="131"/>
      <c r="K185" s="131"/>
      <c r="L185" s="31">
        <v>3</v>
      </c>
      <c r="M185" s="32" t="s">
        <v>617</v>
      </c>
      <c r="N185" s="19" t="s">
        <v>210</v>
      </c>
      <c r="O185" s="17" t="s">
        <v>211</v>
      </c>
      <c r="P185" s="39" t="s">
        <v>640</v>
      </c>
      <c r="Q185" s="59"/>
      <c r="S185" s="2"/>
      <c r="T185" s="2"/>
    </row>
    <row r="186" spans="1:20" ht="34" customHeight="1">
      <c r="A186" s="166"/>
      <c r="B186" s="122"/>
      <c r="C186" s="122"/>
      <c r="D186" s="140"/>
      <c r="E186" s="131"/>
      <c r="F186" s="131"/>
      <c r="G186" s="131"/>
      <c r="H186" s="131"/>
      <c r="I186" s="137"/>
      <c r="J186" s="131"/>
      <c r="K186" s="131"/>
      <c r="L186" s="31">
        <v>4</v>
      </c>
      <c r="M186" s="32" t="s">
        <v>618</v>
      </c>
      <c r="N186" s="19" t="s">
        <v>539</v>
      </c>
      <c r="O186" s="17" t="s">
        <v>540</v>
      </c>
      <c r="P186" s="39" t="s">
        <v>640</v>
      </c>
      <c r="Q186" s="59"/>
      <c r="S186" s="2"/>
      <c r="T186" s="2"/>
    </row>
    <row r="187" spans="1:20" ht="34" customHeight="1">
      <c r="A187" s="166"/>
      <c r="B187" s="122"/>
      <c r="C187" s="122"/>
      <c r="D187" s="140"/>
      <c r="E187" s="131"/>
      <c r="F187" s="131"/>
      <c r="G187" s="131"/>
      <c r="H187" s="131"/>
      <c r="I187" s="137"/>
      <c r="J187" s="131"/>
      <c r="K187" s="131"/>
      <c r="L187" s="31">
        <v>5</v>
      </c>
      <c r="M187" s="32" t="s">
        <v>619</v>
      </c>
      <c r="N187" s="16" t="s">
        <v>212</v>
      </c>
      <c r="O187" s="17" t="s">
        <v>541</v>
      </c>
      <c r="P187" s="39" t="s">
        <v>640</v>
      </c>
      <c r="Q187" s="59"/>
      <c r="T187" s="2"/>
    </row>
    <row r="188" spans="1:20" ht="34" customHeight="1">
      <c r="A188" s="166"/>
      <c r="B188" s="122"/>
      <c r="C188" s="122"/>
      <c r="D188" s="141"/>
      <c r="E188" s="132"/>
      <c r="F188" s="132"/>
      <c r="G188" s="132"/>
      <c r="H188" s="132"/>
      <c r="I188" s="138"/>
      <c r="J188" s="132"/>
      <c r="K188" s="132"/>
      <c r="L188" s="31">
        <v>6</v>
      </c>
      <c r="M188" s="32" t="s">
        <v>620</v>
      </c>
      <c r="N188" s="19" t="s">
        <v>664</v>
      </c>
      <c r="O188" s="17" t="s">
        <v>542</v>
      </c>
      <c r="P188" s="47" t="s">
        <v>640</v>
      </c>
      <c r="Q188" s="59"/>
      <c r="S188" s="2"/>
      <c r="T188" s="2"/>
    </row>
    <row r="189" spans="1:20" ht="34" customHeight="1">
      <c r="A189" s="166"/>
      <c r="B189" s="122"/>
      <c r="C189" s="122"/>
      <c r="D189" s="133" t="s">
        <v>666</v>
      </c>
      <c r="E189" s="130" t="s">
        <v>783</v>
      </c>
      <c r="F189" s="130" t="s">
        <v>642</v>
      </c>
      <c r="G189" s="130" t="s">
        <v>643</v>
      </c>
      <c r="H189" s="130" t="s">
        <v>667</v>
      </c>
      <c r="I189" s="136" t="s">
        <v>16</v>
      </c>
      <c r="J189" s="130" t="s">
        <v>668</v>
      </c>
      <c r="K189" s="130" t="s">
        <v>644</v>
      </c>
      <c r="L189" s="34">
        <v>1</v>
      </c>
      <c r="M189" s="36" t="s">
        <v>669</v>
      </c>
      <c r="N189" s="36" t="s">
        <v>670</v>
      </c>
      <c r="O189" s="36" t="s">
        <v>645</v>
      </c>
      <c r="P189" s="54" t="s">
        <v>640</v>
      </c>
      <c r="Q189" s="60"/>
    </row>
    <row r="190" spans="1:20" ht="34" customHeight="1">
      <c r="A190" s="166"/>
      <c r="B190" s="122"/>
      <c r="C190" s="122"/>
      <c r="D190" s="134"/>
      <c r="E190" s="131"/>
      <c r="F190" s="131"/>
      <c r="G190" s="131"/>
      <c r="H190" s="131"/>
      <c r="I190" s="137"/>
      <c r="J190" s="131"/>
      <c r="K190" s="131"/>
      <c r="L190" s="31">
        <v>2</v>
      </c>
      <c r="M190" s="32" t="s">
        <v>671</v>
      </c>
      <c r="N190" s="32" t="s">
        <v>670</v>
      </c>
      <c r="O190" s="32" t="s">
        <v>672</v>
      </c>
      <c r="P190" s="48" t="s">
        <v>640</v>
      </c>
      <c r="Q190" s="60"/>
    </row>
    <row r="191" spans="1:20" ht="34" customHeight="1">
      <c r="A191" s="166"/>
      <c r="B191" s="122"/>
      <c r="C191" s="122"/>
      <c r="D191" s="134"/>
      <c r="E191" s="131"/>
      <c r="F191" s="131"/>
      <c r="G191" s="131"/>
      <c r="H191" s="131"/>
      <c r="I191" s="137"/>
      <c r="J191" s="131"/>
      <c r="K191" s="131"/>
      <c r="L191" s="31">
        <v>3</v>
      </c>
      <c r="M191" s="32" t="s">
        <v>646</v>
      </c>
      <c r="N191" s="32" t="s">
        <v>647</v>
      </c>
      <c r="O191" s="32" t="s">
        <v>673</v>
      </c>
      <c r="P191" s="48" t="s">
        <v>640</v>
      </c>
      <c r="Q191" s="60"/>
    </row>
    <row r="192" spans="1:20" ht="34" customHeight="1">
      <c r="A192" s="166"/>
      <c r="B192" s="122"/>
      <c r="C192" s="122"/>
      <c r="D192" s="134"/>
      <c r="E192" s="132"/>
      <c r="F192" s="132"/>
      <c r="G192" s="132"/>
      <c r="H192" s="132"/>
      <c r="I192" s="138"/>
      <c r="J192" s="132"/>
      <c r="K192" s="132"/>
      <c r="L192" s="31">
        <v>4</v>
      </c>
      <c r="M192" s="32" t="s">
        <v>674</v>
      </c>
      <c r="N192" s="32" t="s">
        <v>675</v>
      </c>
      <c r="O192" s="32" t="s">
        <v>676</v>
      </c>
      <c r="P192" s="48" t="s">
        <v>640</v>
      </c>
      <c r="Q192" s="60"/>
    </row>
    <row r="193" spans="1:17" ht="34" customHeight="1">
      <c r="A193" s="166"/>
      <c r="B193" s="122"/>
      <c r="C193" s="122"/>
      <c r="D193" s="134"/>
      <c r="E193" s="130" t="s">
        <v>784</v>
      </c>
      <c r="F193" s="130" t="s">
        <v>648</v>
      </c>
      <c r="G193" s="130" t="s">
        <v>649</v>
      </c>
      <c r="H193" s="130" t="s">
        <v>677</v>
      </c>
      <c r="I193" s="136" t="s">
        <v>15</v>
      </c>
      <c r="J193" s="130" t="s">
        <v>678</v>
      </c>
      <c r="K193" s="130" t="s">
        <v>650</v>
      </c>
      <c r="L193" s="34">
        <v>1</v>
      </c>
      <c r="M193" s="50" t="s">
        <v>679</v>
      </c>
      <c r="N193" s="50" t="s">
        <v>680</v>
      </c>
      <c r="O193" s="36" t="s">
        <v>651</v>
      </c>
      <c r="P193" s="48" t="s">
        <v>640</v>
      </c>
      <c r="Q193" s="60"/>
    </row>
    <row r="194" spans="1:17" ht="34" customHeight="1">
      <c r="A194" s="166"/>
      <c r="B194" s="122"/>
      <c r="C194" s="122"/>
      <c r="D194" s="134"/>
      <c r="E194" s="131"/>
      <c r="F194" s="131"/>
      <c r="G194" s="131"/>
      <c r="H194" s="131"/>
      <c r="I194" s="137"/>
      <c r="J194" s="131"/>
      <c r="K194" s="131"/>
      <c r="L194" s="31">
        <v>2</v>
      </c>
      <c r="M194" s="32" t="s">
        <v>652</v>
      </c>
      <c r="N194" s="32" t="s">
        <v>653</v>
      </c>
      <c r="O194" s="33" t="s">
        <v>681</v>
      </c>
      <c r="P194" s="48" t="s">
        <v>640</v>
      </c>
      <c r="Q194" s="60"/>
    </row>
    <row r="195" spans="1:17" ht="34" customHeight="1">
      <c r="A195" s="166"/>
      <c r="B195" s="122"/>
      <c r="C195" s="122"/>
      <c r="D195" s="134"/>
      <c r="E195" s="131"/>
      <c r="F195" s="131"/>
      <c r="G195" s="131"/>
      <c r="H195" s="131"/>
      <c r="I195" s="137"/>
      <c r="J195" s="131"/>
      <c r="K195" s="131"/>
      <c r="L195" s="31">
        <v>3</v>
      </c>
      <c r="M195" s="32" t="s">
        <v>682</v>
      </c>
      <c r="N195" s="33" t="s">
        <v>680</v>
      </c>
      <c r="O195" s="32" t="s">
        <v>683</v>
      </c>
      <c r="P195" s="48" t="s">
        <v>640</v>
      </c>
      <c r="Q195" s="60"/>
    </row>
    <row r="196" spans="1:17" ht="34" customHeight="1">
      <c r="A196" s="166"/>
      <c r="B196" s="122"/>
      <c r="C196" s="122"/>
      <c r="D196" s="135"/>
      <c r="E196" s="132"/>
      <c r="F196" s="132"/>
      <c r="G196" s="132"/>
      <c r="H196" s="132"/>
      <c r="I196" s="138"/>
      <c r="J196" s="132"/>
      <c r="K196" s="132"/>
      <c r="L196" s="3">
        <v>4</v>
      </c>
      <c r="M196" s="5" t="s">
        <v>684</v>
      </c>
      <c r="N196" s="5" t="s">
        <v>212</v>
      </c>
      <c r="O196" s="5" t="s">
        <v>685</v>
      </c>
      <c r="P196" s="48" t="s">
        <v>640</v>
      </c>
      <c r="Q196" s="60"/>
    </row>
    <row r="197" spans="1:17" ht="34" customHeight="1">
      <c r="A197" s="166"/>
      <c r="B197" s="122"/>
      <c r="C197" s="122"/>
      <c r="D197" s="142" t="s">
        <v>686</v>
      </c>
      <c r="E197" s="154" t="s">
        <v>785</v>
      </c>
      <c r="F197" s="151" t="s">
        <v>687</v>
      </c>
      <c r="G197" s="154" t="s">
        <v>688</v>
      </c>
      <c r="H197" s="154" t="s">
        <v>751</v>
      </c>
      <c r="I197" s="161" t="s">
        <v>793</v>
      </c>
      <c r="J197" s="154" t="s">
        <v>689</v>
      </c>
      <c r="K197" s="154" t="s">
        <v>690</v>
      </c>
      <c r="L197" s="45">
        <v>1</v>
      </c>
      <c r="M197" s="51" t="s">
        <v>691</v>
      </c>
      <c r="N197" s="51" t="s">
        <v>692</v>
      </c>
      <c r="O197" s="52" t="s">
        <v>654</v>
      </c>
      <c r="P197" s="48" t="s">
        <v>640</v>
      </c>
      <c r="Q197" s="60"/>
    </row>
    <row r="198" spans="1:17" ht="34" customHeight="1">
      <c r="A198" s="166"/>
      <c r="B198" s="122"/>
      <c r="C198" s="122"/>
      <c r="D198" s="143"/>
      <c r="E198" s="155"/>
      <c r="F198" s="152"/>
      <c r="G198" s="155"/>
      <c r="H198" s="155"/>
      <c r="I198" s="152"/>
      <c r="J198" s="155"/>
      <c r="K198" s="155"/>
      <c r="L198" s="45">
        <v>2</v>
      </c>
      <c r="M198" s="52" t="s">
        <v>655</v>
      </c>
      <c r="N198" s="52" t="s">
        <v>656</v>
      </c>
      <c r="O198" s="52" t="s">
        <v>694</v>
      </c>
      <c r="P198" s="48" t="s">
        <v>640</v>
      </c>
      <c r="Q198" s="60"/>
    </row>
    <row r="199" spans="1:17" ht="34" customHeight="1">
      <c r="A199" s="166"/>
      <c r="B199" s="122"/>
      <c r="C199" s="122"/>
      <c r="D199" s="143"/>
      <c r="E199" s="156"/>
      <c r="F199" s="153"/>
      <c r="G199" s="156"/>
      <c r="H199" s="156"/>
      <c r="I199" s="153"/>
      <c r="J199" s="156"/>
      <c r="K199" s="156"/>
      <c r="L199" s="45">
        <v>3</v>
      </c>
      <c r="M199" s="52" t="s">
        <v>696</v>
      </c>
      <c r="N199" s="51" t="s">
        <v>692</v>
      </c>
      <c r="O199" s="52" t="s">
        <v>697</v>
      </c>
      <c r="P199" s="48" t="s">
        <v>640</v>
      </c>
      <c r="Q199" s="60"/>
    </row>
    <row r="200" spans="1:17" ht="34" customHeight="1">
      <c r="A200" s="166"/>
      <c r="B200" s="122"/>
      <c r="C200" s="122"/>
      <c r="D200" s="143"/>
      <c r="E200" s="145" t="s">
        <v>786</v>
      </c>
      <c r="F200" s="148" t="s">
        <v>698</v>
      </c>
      <c r="G200" s="145" t="s">
        <v>699</v>
      </c>
      <c r="H200" s="145" t="s">
        <v>700</v>
      </c>
      <c r="I200" s="160" t="s">
        <v>793</v>
      </c>
      <c r="J200" s="145" t="s">
        <v>701</v>
      </c>
      <c r="K200" s="145" t="s">
        <v>702</v>
      </c>
      <c r="L200" s="46">
        <v>1</v>
      </c>
      <c r="M200" s="10" t="s">
        <v>703</v>
      </c>
      <c r="N200" s="10" t="s">
        <v>704</v>
      </c>
      <c r="O200" s="10" t="s">
        <v>657</v>
      </c>
      <c r="P200" s="48" t="s">
        <v>640</v>
      </c>
      <c r="Q200" s="60"/>
    </row>
    <row r="201" spans="1:17">
      <c r="A201" s="166"/>
      <c r="B201" s="122"/>
      <c r="C201" s="122"/>
      <c r="D201" s="143"/>
      <c r="E201" s="146"/>
      <c r="F201" s="149"/>
      <c r="G201" s="146"/>
      <c r="H201" s="146"/>
      <c r="I201" s="149"/>
      <c r="J201" s="146"/>
      <c r="K201" s="146"/>
      <c r="L201" s="14">
        <v>2</v>
      </c>
      <c r="M201" s="19" t="s">
        <v>658</v>
      </c>
      <c r="N201" s="19" t="s">
        <v>659</v>
      </c>
      <c r="O201" s="19" t="s">
        <v>693</v>
      </c>
      <c r="P201" s="48" t="s">
        <v>640</v>
      </c>
      <c r="Q201" s="60"/>
    </row>
    <row r="202" spans="1:17" ht="34" customHeight="1">
      <c r="A202" s="166"/>
      <c r="B202" s="122"/>
      <c r="C202" s="122"/>
      <c r="D202" s="143"/>
      <c r="E202" s="147"/>
      <c r="F202" s="150"/>
      <c r="G202" s="147"/>
      <c r="H202" s="147"/>
      <c r="I202" s="150"/>
      <c r="J202" s="147"/>
      <c r="K202" s="147"/>
      <c r="L202" s="21">
        <v>3</v>
      </c>
      <c r="M202" s="4" t="s">
        <v>696</v>
      </c>
      <c r="N202" s="29" t="s">
        <v>705</v>
      </c>
      <c r="O202" s="4" t="s">
        <v>660</v>
      </c>
      <c r="P202" s="48" t="s">
        <v>640</v>
      </c>
      <c r="Q202" s="60"/>
    </row>
    <row r="203" spans="1:17" ht="34" customHeight="1">
      <c r="A203" s="166"/>
      <c r="B203" s="122"/>
      <c r="C203" s="122"/>
      <c r="D203" s="143"/>
      <c r="E203" s="145" t="s">
        <v>787</v>
      </c>
      <c r="F203" s="148" t="s">
        <v>706</v>
      </c>
      <c r="G203" s="145" t="s">
        <v>707</v>
      </c>
      <c r="H203" s="145" t="s">
        <v>750</v>
      </c>
      <c r="I203" s="160" t="s">
        <v>793</v>
      </c>
      <c r="J203" s="145" t="s">
        <v>708</v>
      </c>
      <c r="K203" s="145" t="s">
        <v>690</v>
      </c>
      <c r="L203" s="14">
        <v>1</v>
      </c>
      <c r="M203" s="16" t="s">
        <v>709</v>
      </c>
      <c r="N203" s="16" t="s">
        <v>710</v>
      </c>
      <c r="O203" s="19" t="s">
        <v>654</v>
      </c>
      <c r="P203" s="48" t="s">
        <v>640</v>
      </c>
      <c r="Q203" s="60"/>
    </row>
    <row r="204" spans="1:17" ht="34" customHeight="1">
      <c r="A204" s="166"/>
      <c r="B204" s="122"/>
      <c r="C204" s="122"/>
      <c r="D204" s="143"/>
      <c r="E204" s="146"/>
      <c r="F204" s="149"/>
      <c r="G204" s="146"/>
      <c r="H204" s="146"/>
      <c r="I204" s="149"/>
      <c r="J204" s="146"/>
      <c r="K204" s="146"/>
      <c r="L204" s="14">
        <v>2</v>
      </c>
      <c r="M204" s="19" t="s">
        <v>655</v>
      </c>
      <c r="N204" s="19" t="s">
        <v>656</v>
      </c>
      <c r="O204" s="19" t="s">
        <v>694</v>
      </c>
      <c r="P204" s="48" t="s">
        <v>640</v>
      </c>
      <c r="Q204" s="60"/>
    </row>
    <row r="205" spans="1:17" ht="34" customHeight="1">
      <c r="A205" s="166"/>
      <c r="B205" s="122"/>
      <c r="C205" s="122"/>
      <c r="D205" s="143"/>
      <c r="E205" s="147"/>
      <c r="F205" s="150"/>
      <c r="G205" s="147"/>
      <c r="H205" s="147"/>
      <c r="I205" s="150"/>
      <c r="J205" s="147"/>
      <c r="K205" s="147"/>
      <c r="L205" s="14">
        <v>3</v>
      </c>
      <c r="M205" s="19" t="s">
        <v>696</v>
      </c>
      <c r="N205" s="16" t="s">
        <v>710</v>
      </c>
      <c r="O205" s="19" t="s">
        <v>662</v>
      </c>
      <c r="P205" s="48" t="s">
        <v>640</v>
      </c>
      <c r="Q205" s="60"/>
    </row>
    <row r="206" spans="1:17" ht="34" customHeight="1">
      <c r="A206" s="166"/>
      <c r="B206" s="122"/>
      <c r="C206" s="122"/>
      <c r="D206" s="143"/>
      <c r="E206" s="145" t="s">
        <v>788</v>
      </c>
      <c r="F206" s="148" t="s">
        <v>711</v>
      </c>
      <c r="G206" s="145" t="s">
        <v>712</v>
      </c>
      <c r="H206" s="145" t="s">
        <v>713</v>
      </c>
      <c r="I206" s="160" t="s">
        <v>793</v>
      </c>
      <c r="J206" s="145" t="s">
        <v>714</v>
      </c>
      <c r="K206" s="148" t="s">
        <v>715</v>
      </c>
      <c r="L206" s="46">
        <v>1</v>
      </c>
      <c r="M206" s="10" t="s">
        <v>716</v>
      </c>
      <c r="N206" s="10" t="s">
        <v>717</v>
      </c>
      <c r="O206" s="10" t="s">
        <v>657</v>
      </c>
      <c r="P206" s="48" t="s">
        <v>640</v>
      </c>
      <c r="Q206" s="60"/>
    </row>
    <row r="207" spans="1:17" ht="34" customHeight="1">
      <c r="A207" s="166"/>
      <c r="B207" s="122"/>
      <c r="C207" s="122"/>
      <c r="D207" s="143"/>
      <c r="E207" s="146"/>
      <c r="F207" s="149"/>
      <c r="G207" s="146"/>
      <c r="H207" s="146"/>
      <c r="I207" s="149"/>
      <c r="J207" s="146"/>
      <c r="K207" s="149"/>
      <c r="L207" s="14">
        <v>2</v>
      </c>
      <c r="M207" s="19" t="s">
        <v>658</v>
      </c>
      <c r="N207" s="19" t="s">
        <v>659</v>
      </c>
      <c r="O207" s="19" t="s">
        <v>693</v>
      </c>
      <c r="P207" s="48" t="s">
        <v>640</v>
      </c>
      <c r="Q207" s="60"/>
    </row>
    <row r="208" spans="1:17" ht="34" customHeight="1">
      <c r="A208" s="166"/>
      <c r="B208" s="122"/>
      <c r="C208" s="122"/>
      <c r="D208" s="143"/>
      <c r="E208" s="147"/>
      <c r="F208" s="150"/>
      <c r="G208" s="147"/>
      <c r="H208" s="147"/>
      <c r="I208" s="150"/>
      <c r="J208" s="147"/>
      <c r="K208" s="150"/>
      <c r="L208" s="21">
        <v>3</v>
      </c>
      <c r="M208" s="4" t="s">
        <v>695</v>
      </c>
      <c r="N208" s="4" t="s">
        <v>717</v>
      </c>
      <c r="O208" s="29" t="s">
        <v>718</v>
      </c>
      <c r="P208" s="48" t="s">
        <v>640</v>
      </c>
      <c r="Q208" s="60"/>
    </row>
    <row r="209" spans="1:17" ht="34" customHeight="1">
      <c r="A209" s="166"/>
      <c r="B209" s="122"/>
      <c r="C209" s="122"/>
      <c r="D209" s="143"/>
      <c r="E209" s="145" t="s">
        <v>789</v>
      </c>
      <c r="F209" s="148" t="s">
        <v>719</v>
      </c>
      <c r="G209" s="145" t="s">
        <v>720</v>
      </c>
      <c r="H209" s="145" t="s">
        <v>721</v>
      </c>
      <c r="I209" s="160" t="s">
        <v>793</v>
      </c>
      <c r="J209" s="145" t="s">
        <v>722</v>
      </c>
      <c r="K209" s="148" t="s">
        <v>723</v>
      </c>
      <c r="L209" s="14">
        <v>1</v>
      </c>
      <c r="M209" s="16" t="s">
        <v>724</v>
      </c>
      <c r="N209" s="16" t="s">
        <v>725</v>
      </c>
      <c r="O209" s="19" t="s">
        <v>654</v>
      </c>
      <c r="P209" s="48" t="s">
        <v>640</v>
      </c>
      <c r="Q209" s="60"/>
    </row>
    <row r="210" spans="1:17" ht="34" customHeight="1">
      <c r="A210" s="166"/>
      <c r="B210" s="122"/>
      <c r="C210" s="122"/>
      <c r="D210" s="143"/>
      <c r="E210" s="146"/>
      <c r="F210" s="149"/>
      <c r="G210" s="146"/>
      <c r="H210" s="146"/>
      <c r="I210" s="149"/>
      <c r="J210" s="146"/>
      <c r="K210" s="149"/>
      <c r="L210" s="14">
        <v>2</v>
      </c>
      <c r="M210" s="19" t="s">
        <v>726</v>
      </c>
      <c r="N210" s="19" t="s">
        <v>717</v>
      </c>
      <c r="O210" s="16" t="s">
        <v>718</v>
      </c>
      <c r="P210" s="48" t="s">
        <v>640</v>
      </c>
      <c r="Q210" s="60"/>
    </row>
    <row r="211" spans="1:17" ht="34" customHeight="1">
      <c r="A211" s="166"/>
      <c r="B211" s="122"/>
      <c r="C211" s="122"/>
      <c r="D211" s="143"/>
      <c r="E211" s="146"/>
      <c r="F211" s="149"/>
      <c r="G211" s="146"/>
      <c r="H211" s="146"/>
      <c r="I211" s="149"/>
      <c r="J211" s="146"/>
      <c r="K211" s="149"/>
      <c r="L211" s="14">
        <v>3</v>
      </c>
      <c r="M211" s="16" t="s">
        <v>691</v>
      </c>
      <c r="N211" s="16" t="s">
        <v>692</v>
      </c>
      <c r="O211" s="19" t="s">
        <v>657</v>
      </c>
      <c r="P211" s="48" t="s">
        <v>640</v>
      </c>
      <c r="Q211" s="60"/>
    </row>
    <row r="212" spans="1:17" ht="34" customHeight="1">
      <c r="A212" s="166"/>
      <c r="B212" s="122"/>
      <c r="C212" s="122"/>
      <c r="D212" s="143"/>
      <c r="E212" s="147"/>
      <c r="F212" s="150"/>
      <c r="G212" s="147"/>
      <c r="H212" s="147"/>
      <c r="I212" s="150"/>
      <c r="J212" s="147"/>
      <c r="K212" s="150"/>
      <c r="L212" s="14">
        <v>4</v>
      </c>
      <c r="M212" s="16" t="s">
        <v>727</v>
      </c>
      <c r="N212" s="16" t="s">
        <v>692</v>
      </c>
      <c r="O212" s="16" t="s">
        <v>728</v>
      </c>
      <c r="P212" s="48" t="s">
        <v>640</v>
      </c>
      <c r="Q212" s="60"/>
    </row>
    <row r="213" spans="1:17" ht="34" customHeight="1">
      <c r="A213" s="166"/>
      <c r="B213" s="122"/>
      <c r="C213" s="122"/>
      <c r="D213" s="143"/>
      <c r="E213" s="145" t="s">
        <v>790</v>
      </c>
      <c r="F213" s="148" t="s">
        <v>729</v>
      </c>
      <c r="G213" s="145" t="s">
        <v>730</v>
      </c>
      <c r="H213" s="145" t="s">
        <v>731</v>
      </c>
      <c r="I213" s="160" t="s">
        <v>793</v>
      </c>
      <c r="J213" s="145" t="s">
        <v>732</v>
      </c>
      <c r="K213" s="148" t="s">
        <v>733</v>
      </c>
      <c r="L213" s="46">
        <v>1</v>
      </c>
      <c r="M213" s="53" t="s">
        <v>734</v>
      </c>
      <c r="N213" s="53" t="s">
        <v>735</v>
      </c>
      <c r="O213" s="10" t="s">
        <v>657</v>
      </c>
      <c r="P213" s="48" t="s">
        <v>640</v>
      </c>
      <c r="Q213" s="60"/>
    </row>
    <row r="214" spans="1:17" ht="34" customHeight="1">
      <c r="A214" s="166"/>
      <c r="B214" s="122"/>
      <c r="C214" s="122"/>
      <c r="D214" s="143"/>
      <c r="E214" s="146"/>
      <c r="F214" s="149"/>
      <c r="G214" s="146"/>
      <c r="H214" s="146"/>
      <c r="I214" s="149"/>
      <c r="J214" s="146"/>
      <c r="K214" s="149"/>
      <c r="L214" s="14">
        <v>2</v>
      </c>
      <c r="M214" s="16" t="s">
        <v>736</v>
      </c>
      <c r="N214" s="16" t="s">
        <v>735</v>
      </c>
      <c r="O214" s="16" t="s">
        <v>737</v>
      </c>
      <c r="P214" s="49" t="s">
        <v>640</v>
      </c>
      <c r="Q214" s="60"/>
    </row>
    <row r="215" spans="1:17" ht="34" customHeight="1">
      <c r="A215" s="166"/>
      <c r="B215" s="122"/>
      <c r="C215" s="122"/>
      <c r="D215" s="143"/>
      <c r="E215" s="146"/>
      <c r="F215" s="149"/>
      <c r="G215" s="146"/>
      <c r="H215" s="146"/>
      <c r="I215" s="149"/>
      <c r="J215" s="146"/>
      <c r="K215" s="149"/>
      <c r="L215" s="14">
        <v>3</v>
      </c>
      <c r="M215" s="16" t="s">
        <v>738</v>
      </c>
      <c r="N215" s="16" t="s">
        <v>705</v>
      </c>
      <c r="O215" s="19" t="s">
        <v>657</v>
      </c>
      <c r="P215" s="48" t="s">
        <v>640</v>
      </c>
      <c r="Q215" s="60"/>
    </row>
    <row r="216" spans="1:17" ht="34" customHeight="1">
      <c r="A216" s="166"/>
      <c r="B216" s="122"/>
      <c r="C216" s="122"/>
      <c r="D216" s="143"/>
      <c r="E216" s="147"/>
      <c r="F216" s="150"/>
      <c r="G216" s="147"/>
      <c r="H216" s="147"/>
      <c r="I216" s="150"/>
      <c r="J216" s="147"/>
      <c r="K216" s="150"/>
      <c r="L216" s="21">
        <v>4</v>
      </c>
      <c r="M216" s="29" t="s">
        <v>739</v>
      </c>
      <c r="N216" s="29" t="s">
        <v>705</v>
      </c>
      <c r="O216" s="29" t="s">
        <v>661</v>
      </c>
      <c r="P216" s="48" t="s">
        <v>640</v>
      </c>
      <c r="Q216" s="60"/>
    </row>
    <row r="217" spans="1:17" ht="34" customHeight="1">
      <c r="A217" s="166"/>
      <c r="B217" s="122"/>
      <c r="C217" s="122"/>
      <c r="D217" s="143"/>
      <c r="E217" s="145" t="s">
        <v>791</v>
      </c>
      <c r="F217" s="148" t="s">
        <v>740</v>
      </c>
      <c r="G217" s="145" t="s">
        <v>741</v>
      </c>
      <c r="H217" s="145" t="s">
        <v>742</v>
      </c>
      <c r="I217" s="160" t="s">
        <v>793</v>
      </c>
      <c r="J217" s="148" t="s">
        <v>743</v>
      </c>
      <c r="K217" s="148" t="s">
        <v>744</v>
      </c>
      <c r="L217" s="14">
        <v>1</v>
      </c>
      <c r="M217" s="16" t="s">
        <v>745</v>
      </c>
      <c r="N217" s="16" t="s">
        <v>746</v>
      </c>
      <c r="O217" s="19" t="s">
        <v>657</v>
      </c>
      <c r="P217" s="48" t="s">
        <v>792</v>
      </c>
      <c r="Q217" s="117" t="s">
        <v>794</v>
      </c>
    </row>
    <row r="218" spans="1:17" ht="34" customHeight="1">
      <c r="A218" s="166"/>
      <c r="B218" s="122"/>
      <c r="C218" s="122"/>
      <c r="D218" s="143"/>
      <c r="E218" s="146"/>
      <c r="F218" s="149"/>
      <c r="G218" s="146"/>
      <c r="H218" s="146"/>
      <c r="I218" s="149"/>
      <c r="J218" s="149"/>
      <c r="K218" s="149"/>
      <c r="L218" s="14">
        <v>2</v>
      </c>
      <c r="M218" s="16" t="s">
        <v>747</v>
      </c>
      <c r="N218" s="16" t="s">
        <v>746</v>
      </c>
      <c r="O218" s="16" t="s">
        <v>748</v>
      </c>
      <c r="P218" s="48" t="s">
        <v>792</v>
      </c>
      <c r="Q218" s="118"/>
    </row>
    <row r="219" spans="1:17" ht="34" customHeight="1">
      <c r="A219" s="166"/>
      <c r="B219" s="122"/>
      <c r="C219" s="122"/>
      <c r="D219" s="143"/>
      <c r="E219" s="146"/>
      <c r="F219" s="149"/>
      <c r="G219" s="146"/>
      <c r="H219" s="146"/>
      <c r="I219" s="149"/>
      <c r="J219" s="149"/>
      <c r="K219" s="149"/>
      <c r="L219" s="14">
        <v>3</v>
      </c>
      <c r="M219" s="16" t="s">
        <v>709</v>
      </c>
      <c r="N219" s="16" t="s">
        <v>710</v>
      </c>
      <c r="O219" s="19" t="s">
        <v>657</v>
      </c>
      <c r="P219" s="48" t="s">
        <v>792</v>
      </c>
      <c r="Q219" s="118"/>
    </row>
    <row r="220" spans="1:17" ht="34" customHeight="1">
      <c r="A220" s="167"/>
      <c r="B220" s="123"/>
      <c r="C220" s="123"/>
      <c r="D220" s="144"/>
      <c r="E220" s="147"/>
      <c r="F220" s="150"/>
      <c r="G220" s="147"/>
      <c r="H220" s="147"/>
      <c r="I220" s="150"/>
      <c r="J220" s="150"/>
      <c r="K220" s="150"/>
      <c r="L220" s="21">
        <v>4</v>
      </c>
      <c r="M220" s="29" t="s">
        <v>749</v>
      </c>
      <c r="N220" s="29" t="s">
        <v>710</v>
      </c>
      <c r="O220" s="29" t="s">
        <v>663</v>
      </c>
      <c r="P220" s="55" t="s">
        <v>792</v>
      </c>
      <c r="Q220" s="119"/>
    </row>
  </sheetData>
  <mergeCells count="283">
    <mergeCell ref="A4:A220"/>
    <mergeCell ref="E4:E9"/>
    <mergeCell ref="D4:D9"/>
    <mergeCell ref="F4:F9"/>
    <mergeCell ref="G4:G9"/>
    <mergeCell ref="H4:H9"/>
    <mergeCell ref="J4:J9"/>
    <mergeCell ref="K4:K9"/>
    <mergeCell ref="I4:I9"/>
    <mergeCell ref="K24:K29"/>
    <mergeCell ref="J24:J29"/>
    <mergeCell ref="I24:I29"/>
    <mergeCell ref="H24:H29"/>
    <mergeCell ref="D24:D29"/>
    <mergeCell ref="E24:E29"/>
    <mergeCell ref="F24:F29"/>
    <mergeCell ref="G24:G29"/>
    <mergeCell ref="J10:J16"/>
    <mergeCell ref="I10:I16"/>
    <mergeCell ref="K10:K16"/>
    <mergeCell ref="D17:D23"/>
    <mergeCell ref="E17:E23"/>
    <mergeCell ref="F17:F23"/>
    <mergeCell ref="G17:G23"/>
    <mergeCell ref="H17:H23"/>
    <mergeCell ref="J17:J23"/>
    <mergeCell ref="I17:I23"/>
    <mergeCell ref="K17:K23"/>
    <mergeCell ref="D10:D16"/>
    <mergeCell ref="E10:E16"/>
    <mergeCell ref="F10:F16"/>
    <mergeCell ref="G10:G16"/>
    <mergeCell ref="H10:H16"/>
    <mergeCell ref="F36:F46"/>
    <mergeCell ref="D36:D46"/>
    <mergeCell ref="E36:E46"/>
    <mergeCell ref="K36:K46"/>
    <mergeCell ref="J36:J46"/>
    <mergeCell ref="I36:I46"/>
    <mergeCell ref="H36:H46"/>
    <mergeCell ref="G36:G46"/>
    <mergeCell ref="G30:G35"/>
    <mergeCell ref="H30:H35"/>
    <mergeCell ref="I30:I35"/>
    <mergeCell ref="J30:J35"/>
    <mergeCell ref="K30:K35"/>
    <mergeCell ref="D30:D35"/>
    <mergeCell ref="E30:E35"/>
    <mergeCell ref="F30:F35"/>
    <mergeCell ref="D54:D61"/>
    <mergeCell ref="H54:H61"/>
    <mergeCell ref="J54:J61"/>
    <mergeCell ref="I54:I61"/>
    <mergeCell ref="K54:K61"/>
    <mergeCell ref="G54:G61"/>
    <mergeCell ref="G47:G53"/>
    <mergeCell ref="H47:H53"/>
    <mergeCell ref="I47:I53"/>
    <mergeCell ref="J47:J53"/>
    <mergeCell ref="K47:K53"/>
    <mergeCell ref="D47:D53"/>
    <mergeCell ref="E47:E53"/>
    <mergeCell ref="F47:F53"/>
    <mergeCell ref="G62:G68"/>
    <mergeCell ref="H62:H68"/>
    <mergeCell ref="I62:I68"/>
    <mergeCell ref="J62:J68"/>
    <mergeCell ref="K62:K68"/>
    <mergeCell ref="E62:E68"/>
    <mergeCell ref="F62:F68"/>
    <mergeCell ref="F54:F61"/>
    <mergeCell ref="E54:E61"/>
    <mergeCell ref="J88:J94"/>
    <mergeCell ref="K88:K94"/>
    <mergeCell ref="J95:J100"/>
    <mergeCell ref="K95:K100"/>
    <mergeCell ref="J101:J106"/>
    <mergeCell ref="K101:K106"/>
    <mergeCell ref="K69:K74"/>
    <mergeCell ref="J69:J74"/>
    <mergeCell ref="J75:J81"/>
    <mergeCell ref="K75:K81"/>
    <mergeCell ref="J82:J87"/>
    <mergeCell ref="K82:K87"/>
    <mergeCell ref="J126:J131"/>
    <mergeCell ref="K126:K131"/>
    <mergeCell ref="J132:J137"/>
    <mergeCell ref="K132:K137"/>
    <mergeCell ref="K138:K144"/>
    <mergeCell ref="J138:J144"/>
    <mergeCell ref="J107:J113"/>
    <mergeCell ref="K107:K113"/>
    <mergeCell ref="J114:J119"/>
    <mergeCell ref="K114:K119"/>
    <mergeCell ref="K120:K125"/>
    <mergeCell ref="J120:J125"/>
    <mergeCell ref="J160:J166"/>
    <mergeCell ref="K160:K166"/>
    <mergeCell ref="K167:K174"/>
    <mergeCell ref="J167:J174"/>
    <mergeCell ref="J175:J182"/>
    <mergeCell ref="K175:K182"/>
    <mergeCell ref="J145:J149"/>
    <mergeCell ref="K145:K149"/>
    <mergeCell ref="J150:J154"/>
    <mergeCell ref="K150:K154"/>
    <mergeCell ref="K155:K159"/>
    <mergeCell ref="J155:J159"/>
    <mergeCell ref="J197:J199"/>
    <mergeCell ref="K197:K199"/>
    <mergeCell ref="J200:J202"/>
    <mergeCell ref="K200:K202"/>
    <mergeCell ref="J203:J205"/>
    <mergeCell ref="K203:K205"/>
    <mergeCell ref="K183:K188"/>
    <mergeCell ref="J183:J188"/>
    <mergeCell ref="J189:J192"/>
    <mergeCell ref="K189:K192"/>
    <mergeCell ref="K193:K196"/>
    <mergeCell ref="J193:J196"/>
    <mergeCell ref="J217:J220"/>
    <mergeCell ref="K217:K220"/>
    <mergeCell ref="I217:I220"/>
    <mergeCell ref="I213:I216"/>
    <mergeCell ref="I209:I212"/>
    <mergeCell ref="J206:J208"/>
    <mergeCell ref="K206:K208"/>
    <mergeCell ref="J209:J212"/>
    <mergeCell ref="K209:K212"/>
    <mergeCell ref="J213:J216"/>
    <mergeCell ref="K213:K216"/>
    <mergeCell ref="I189:I192"/>
    <mergeCell ref="I183:I188"/>
    <mergeCell ref="I175:I182"/>
    <mergeCell ref="I167:I174"/>
    <mergeCell ref="I160:I166"/>
    <mergeCell ref="I206:I208"/>
    <mergeCell ref="I203:I205"/>
    <mergeCell ref="I200:I202"/>
    <mergeCell ref="I193:I196"/>
    <mergeCell ref="I197:I199"/>
    <mergeCell ref="I126:I131"/>
    <mergeCell ref="I120:I125"/>
    <mergeCell ref="I114:I119"/>
    <mergeCell ref="I107:I113"/>
    <mergeCell ref="I101:I106"/>
    <mergeCell ref="I155:I159"/>
    <mergeCell ref="I150:I154"/>
    <mergeCell ref="I145:I149"/>
    <mergeCell ref="I138:I144"/>
    <mergeCell ref="I132:I137"/>
    <mergeCell ref="H69:H74"/>
    <mergeCell ref="H75:H81"/>
    <mergeCell ref="H82:H87"/>
    <mergeCell ref="H88:H94"/>
    <mergeCell ref="G69:G74"/>
    <mergeCell ref="G75:G81"/>
    <mergeCell ref="G82:G87"/>
    <mergeCell ref="G88:G94"/>
    <mergeCell ref="I95:I100"/>
    <mergeCell ref="I88:I94"/>
    <mergeCell ref="I82:I87"/>
    <mergeCell ref="I75:I81"/>
    <mergeCell ref="I69:I74"/>
    <mergeCell ref="G114:G119"/>
    <mergeCell ref="H114:H119"/>
    <mergeCell ref="H120:H125"/>
    <mergeCell ref="G120:G125"/>
    <mergeCell ref="G126:G131"/>
    <mergeCell ref="H126:H131"/>
    <mergeCell ref="G95:G100"/>
    <mergeCell ref="G101:G106"/>
    <mergeCell ref="G107:G113"/>
    <mergeCell ref="H107:H113"/>
    <mergeCell ref="H101:H106"/>
    <mergeCell ref="H95:H100"/>
    <mergeCell ref="G150:G154"/>
    <mergeCell ref="H150:H154"/>
    <mergeCell ref="G155:G159"/>
    <mergeCell ref="H155:H159"/>
    <mergeCell ref="G160:G166"/>
    <mergeCell ref="H160:H166"/>
    <mergeCell ref="G132:G137"/>
    <mergeCell ref="H132:H137"/>
    <mergeCell ref="G138:G144"/>
    <mergeCell ref="H138:H144"/>
    <mergeCell ref="G145:G149"/>
    <mergeCell ref="H145:H149"/>
    <mergeCell ref="G189:G192"/>
    <mergeCell ref="H189:H192"/>
    <mergeCell ref="G193:G196"/>
    <mergeCell ref="H193:H196"/>
    <mergeCell ref="G197:G199"/>
    <mergeCell ref="H197:H199"/>
    <mergeCell ref="G167:G174"/>
    <mergeCell ref="H167:H174"/>
    <mergeCell ref="H175:H182"/>
    <mergeCell ref="G175:G182"/>
    <mergeCell ref="G183:G188"/>
    <mergeCell ref="H183:H188"/>
    <mergeCell ref="E217:E220"/>
    <mergeCell ref="H209:H212"/>
    <mergeCell ref="G209:G212"/>
    <mergeCell ref="H213:H216"/>
    <mergeCell ref="G213:G216"/>
    <mergeCell ref="H217:H220"/>
    <mergeCell ref="G217:G220"/>
    <mergeCell ref="G200:G202"/>
    <mergeCell ref="H200:H202"/>
    <mergeCell ref="G203:G205"/>
    <mergeCell ref="H203:H205"/>
    <mergeCell ref="G206:G208"/>
    <mergeCell ref="H206:H208"/>
    <mergeCell ref="F189:F192"/>
    <mergeCell ref="F183:F188"/>
    <mergeCell ref="E183:E188"/>
    <mergeCell ref="D183:D188"/>
    <mergeCell ref="E175:E182"/>
    <mergeCell ref="F175:F182"/>
    <mergeCell ref="D189:D196"/>
    <mergeCell ref="E189:E192"/>
    <mergeCell ref="D197:D220"/>
    <mergeCell ref="E203:E205"/>
    <mergeCell ref="F203:F205"/>
    <mergeCell ref="F200:F202"/>
    <mergeCell ref="F197:F199"/>
    <mergeCell ref="F193:F196"/>
    <mergeCell ref="E193:E196"/>
    <mergeCell ref="E197:E199"/>
    <mergeCell ref="E200:E202"/>
    <mergeCell ref="F217:F220"/>
    <mergeCell ref="F213:F216"/>
    <mergeCell ref="F209:F212"/>
    <mergeCell ref="F206:F208"/>
    <mergeCell ref="E206:E208"/>
    <mergeCell ref="E209:E212"/>
    <mergeCell ref="E213:E216"/>
    <mergeCell ref="F150:F154"/>
    <mergeCell ref="F138:F144"/>
    <mergeCell ref="E138:E144"/>
    <mergeCell ref="D145:D159"/>
    <mergeCell ref="E150:E154"/>
    <mergeCell ref="E145:E149"/>
    <mergeCell ref="E155:E159"/>
    <mergeCell ref="F155:F159"/>
    <mergeCell ref="F167:F174"/>
    <mergeCell ref="E167:E174"/>
    <mergeCell ref="F160:F166"/>
    <mergeCell ref="E160:E166"/>
    <mergeCell ref="D160:D182"/>
    <mergeCell ref="D120:D125"/>
    <mergeCell ref="E120:E125"/>
    <mergeCell ref="F120:F125"/>
    <mergeCell ref="F126:F131"/>
    <mergeCell ref="E126:E131"/>
    <mergeCell ref="D126:D144"/>
    <mergeCell ref="F132:F137"/>
    <mergeCell ref="E132:E137"/>
    <mergeCell ref="F145:F149"/>
    <mergeCell ref="Q217:Q220"/>
    <mergeCell ref="A2:Q2"/>
    <mergeCell ref="B4:B220"/>
    <mergeCell ref="C4:C220"/>
    <mergeCell ref="F69:F74"/>
    <mergeCell ref="E69:E74"/>
    <mergeCell ref="D62:D74"/>
    <mergeCell ref="F75:F81"/>
    <mergeCell ref="E75:E81"/>
    <mergeCell ref="D75:D94"/>
    <mergeCell ref="E82:E87"/>
    <mergeCell ref="F82:F87"/>
    <mergeCell ref="F88:F94"/>
    <mergeCell ref="E88:E94"/>
    <mergeCell ref="E95:E100"/>
    <mergeCell ref="F95:F100"/>
    <mergeCell ref="D95:D106"/>
    <mergeCell ref="F101:F106"/>
    <mergeCell ref="E101:E106"/>
    <mergeCell ref="E107:E113"/>
    <mergeCell ref="F107:F113"/>
    <mergeCell ref="D107:D119"/>
    <mergeCell ref="F114:F119"/>
    <mergeCell ref="E114:E119"/>
  </mergeCells>
  <phoneticPr fontId="6" type="noConversion"/>
  <conditionalFormatting sqref="P4:P220">
    <cfRule type="containsText" dxfId="2" priority="1" operator="containsText" text="Block">
      <formula>NOT(ISERROR(SEARCH("Block",P4)))</formula>
    </cfRule>
    <cfRule type="containsText" dxfId="1" priority="2" operator="containsText" text="Fail">
      <formula>NOT(ISERROR(SEARCH("Fail",P4)))</formula>
    </cfRule>
    <cfRule type="containsText" dxfId="0" priority="3" operator="containsText" text="Pass">
      <formula>NOT(ISERROR(SEARCH("Pass",P4)))</formula>
    </cfRule>
  </conditionalFormatting>
  <dataValidations count="3">
    <dataValidation type="list" allowBlank="1" sqref="M69 M75 L70:L74 M82 L76:L81 M88 L83:L87 M95 L89:L94 M101 L96:L100 M107 L102:L106 M114 L108:L113 M120 L115:L119 M126 L121:L125 M132 L127:L131 M138 L133:L137 M145 L139:L144 M150 L146:L149 M155 L151:L154 M160 L156:L159 M167 L161:L166 M175 L168:L174 M183 L176:L182 M62 L63:L68 M54 L51:L53 L55:L61 L184:L188 M189:M196" xr:uid="{00000000-0002-0000-0100-000001000000}">
      <formula1>"Manual,Candidate,Automated"</formula1>
    </dataValidation>
    <dataValidation type="list" allowBlank="1" showInputMessage="1" showErrorMessage="1" sqref="P4:P220" xr:uid="{062380A2-32C7-4C49-A128-82CE180820E9}">
      <formula1>"PASS,FAIL,BLOCK"</formula1>
    </dataValidation>
    <dataValidation type="list" allowBlank="1" sqref="I54 I62 I193 I189 I183 I175 I167 I160 I155 I150 I145 I138 I132 I126 I120 I114 I107 I101 I95 I88 I82 I69 I75" xr:uid="{00000000-0002-0000-0100-000000000000}">
      <formula1>"High,Medium,Low"</formula1>
    </dataValidation>
  </dataValidation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59EC9-EAE2-44B9-8388-0BA7D0809A71}">
  <dimension ref="A1:T75"/>
  <sheetViews>
    <sheetView tabSelected="1" topLeftCell="D11" zoomScale="125" zoomScaleNormal="85" workbookViewId="0">
      <selection activeCell="L33" sqref="L33:N33"/>
    </sheetView>
  </sheetViews>
  <sheetFormatPr baseColWidth="10" defaultColWidth="8.83203125" defaultRowHeight="15"/>
  <cols>
    <col min="1" max="1" width="17.1640625" bestFit="1" customWidth="1"/>
    <col min="2" max="2" width="15.5" customWidth="1"/>
    <col min="3" max="4" width="13.1640625" customWidth="1"/>
    <col min="9" max="9" width="24" bestFit="1" customWidth="1"/>
    <col min="10" max="10" width="15.5" bestFit="1" customWidth="1"/>
    <col min="11" max="11" width="13.33203125" bestFit="1" customWidth="1"/>
  </cols>
  <sheetData>
    <row r="1" spans="1:20">
      <c r="A1" s="202" t="s">
        <v>806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</row>
    <row r="2" spans="1:20">
      <c r="A2" s="203"/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</row>
    <row r="3" spans="1:20">
      <c r="A3" s="203"/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20">
      <c r="A4" s="203"/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</row>
    <row r="5" spans="1:20" ht="17">
      <c r="A5" s="204" t="s">
        <v>807</v>
      </c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</row>
    <row r="6" spans="1:20">
      <c r="A6" s="75"/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</row>
    <row r="7" spans="1:20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</row>
    <row r="8" spans="1:20" ht="17">
      <c r="A8" s="69" t="s">
        <v>797</v>
      </c>
      <c r="B8" s="211">
        <f>COUNTIF(FC온라인_Cases!P4:P220,"PASS")</f>
        <v>213</v>
      </c>
      <c r="C8" s="212"/>
      <c r="D8" s="212"/>
      <c r="E8" s="212"/>
      <c r="F8" s="212"/>
      <c r="G8" s="213"/>
      <c r="H8" s="79"/>
      <c r="I8" s="80" t="s">
        <v>811</v>
      </c>
      <c r="J8" s="81" t="s">
        <v>809</v>
      </c>
      <c r="K8" s="206" t="s">
        <v>810</v>
      </c>
      <c r="L8" s="206"/>
      <c r="M8" s="206"/>
      <c r="N8" s="206"/>
      <c r="O8" s="206"/>
      <c r="P8" s="206"/>
      <c r="Q8" s="207"/>
    </row>
    <row r="9" spans="1:20" ht="17">
      <c r="A9" s="69" t="s">
        <v>798</v>
      </c>
      <c r="B9" s="214">
        <f>COUNTIF(FC온라인_Cases!P4:P220,"FAIL")</f>
        <v>0</v>
      </c>
      <c r="C9" s="215"/>
      <c r="D9" s="215"/>
      <c r="E9" s="215"/>
      <c r="F9" s="215"/>
      <c r="G9" s="216"/>
      <c r="H9" s="78"/>
      <c r="I9" s="82" t="s">
        <v>808</v>
      </c>
      <c r="J9" s="83">
        <v>4</v>
      </c>
      <c r="K9" s="223" t="s">
        <v>812</v>
      </c>
      <c r="L9" s="224"/>
      <c r="M9" s="224"/>
      <c r="N9" s="224"/>
      <c r="O9" s="224"/>
      <c r="P9" s="224"/>
      <c r="Q9" s="225"/>
    </row>
    <row r="10" spans="1:20">
      <c r="A10" s="69" t="s">
        <v>799</v>
      </c>
      <c r="B10" s="214">
        <f>COUNTIF(FC온라인_Cases!P4:P220,"BLOCK")</f>
        <v>4</v>
      </c>
      <c r="C10" s="215"/>
      <c r="D10" s="215"/>
      <c r="E10" s="215"/>
      <c r="F10" s="215"/>
      <c r="G10" s="216"/>
      <c r="H10" s="78"/>
      <c r="I10" s="105"/>
      <c r="J10" s="84"/>
      <c r="K10" s="168"/>
      <c r="L10" s="169"/>
      <c r="M10" s="169"/>
      <c r="N10" s="169"/>
      <c r="O10" s="169"/>
      <c r="P10" s="169"/>
      <c r="Q10" s="170"/>
      <c r="R10" s="63"/>
      <c r="S10" s="64"/>
      <c r="T10" s="64"/>
    </row>
    <row r="11" spans="1:20">
      <c r="A11" s="69" t="s">
        <v>800</v>
      </c>
      <c r="B11" s="217">
        <f>COUNTIF(FC온라인_Cases!P4:P220,"PASS")/COUNTA(FC온라인_Cases!P4:P220)</f>
        <v>0.98156682027649766</v>
      </c>
      <c r="C11" s="218"/>
      <c r="D11" s="218"/>
      <c r="E11" s="218"/>
      <c r="F11" s="218"/>
      <c r="G11" s="219"/>
      <c r="H11" s="78"/>
      <c r="I11" s="105"/>
      <c r="J11" s="84"/>
      <c r="K11" s="168"/>
      <c r="L11" s="169"/>
      <c r="M11" s="169"/>
      <c r="N11" s="169"/>
      <c r="O11" s="169"/>
      <c r="P11" s="169"/>
      <c r="Q11" s="170"/>
      <c r="R11" s="65"/>
      <c r="S11" s="62"/>
      <c r="T11" s="66"/>
    </row>
    <row r="12" spans="1:20">
      <c r="A12" s="68" t="s">
        <v>801</v>
      </c>
      <c r="B12" s="220">
        <f>COUNTIF(FC온라인_Cases!P4:P220,"BLOCK")/COUNTA(FC온라인_Cases!P4:P220)</f>
        <v>1.8433179723502304E-2</v>
      </c>
      <c r="C12" s="221"/>
      <c r="D12" s="221"/>
      <c r="E12" s="221"/>
      <c r="F12" s="221"/>
      <c r="G12" s="222"/>
      <c r="H12" s="78"/>
      <c r="I12" s="105"/>
      <c r="J12" s="84"/>
      <c r="K12" s="168"/>
      <c r="L12" s="169"/>
      <c r="M12" s="169"/>
      <c r="N12" s="169"/>
      <c r="O12" s="169"/>
      <c r="P12" s="169"/>
      <c r="Q12" s="170"/>
      <c r="R12" s="65"/>
      <c r="S12" s="62"/>
      <c r="T12" s="66"/>
    </row>
    <row r="13" spans="1:20">
      <c r="A13" s="69" t="s">
        <v>796</v>
      </c>
      <c r="B13" s="101">
        <f>COUNTA(FC온라인_Cases!P4:P220)</f>
        <v>217</v>
      </c>
      <c r="C13" s="103"/>
      <c r="D13" s="103"/>
      <c r="E13" s="103"/>
      <c r="F13" s="103"/>
      <c r="G13" s="103"/>
      <c r="H13" s="78"/>
      <c r="I13" s="105"/>
      <c r="J13" s="84"/>
      <c r="K13" s="168"/>
      <c r="L13" s="169"/>
      <c r="M13" s="169"/>
      <c r="N13" s="169"/>
      <c r="O13" s="169"/>
      <c r="P13" s="169"/>
      <c r="Q13" s="170"/>
      <c r="R13" s="65"/>
      <c r="S13" s="62"/>
      <c r="T13" s="66"/>
    </row>
    <row r="14" spans="1:20">
      <c r="A14" s="69" t="s">
        <v>795</v>
      </c>
      <c r="B14" s="102">
        <f>COUNTA(FC온라인_Cases!E4:E220)</f>
        <v>37</v>
      </c>
      <c r="C14" s="103"/>
      <c r="D14" s="103"/>
      <c r="E14" s="103"/>
      <c r="F14" s="103"/>
      <c r="G14" s="103"/>
      <c r="H14" s="78"/>
      <c r="I14" s="106"/>
      <c r="J14" s="85"/>
      <c r="K14" s="171"/>
      <c r="L14" s="172"/>
      <c r="M14" s="172"/>
      <c r="N14" s="172"/>
      <c r="O14" s="172"/>
      <c r="P14" s="172"/>
      <c r="Q14" s="173"/>
      <c r="R14" s="65"/>
      <c r="S14" s="62"/>
      <c r="T14" s="66"/>
    </row>
    <row r="15" spans="1:20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</row>
    <row r="16" spans="1:20" ht="16.5" customHeight="1">
      <c r="A16" s="180" t="s">
        <v>819</v>
      </c>
      <c r="B16" s="180"/>
      <c r="C16" s="180"/>
      <c r="D16" s="180"/>
      <c r="E16" s="180"/>
      <c r="F16" s="180"/>
      <c r="G16" s="180"/>
      <c r="H16" s="180"/>
      <c r="I16" s="180"/>
      <c r="J16" s="180"/>
      <c r="K16" s="180"/>
      <c r="L16" s="180"/>
      <c r="M16" s="180"/>
      <c r="N16" s="180"/>
      <c r="O16" s="180"/>
      <c r="P16" s="180"/>
      <c r="Q16" s="180"/>
    </row>
    <row r="17" spans="1:17">
      <c r="A17" s="180"/>
      <c r="B17" s="180"/>
      <c r="C17" s="180"/>
      <c r="D17" s="180"/>
      <c r="E17" s="180"/>
      <c r="F17" s="180"/>
      <c r="G17" s="180"/>
      <c r="H17" s="180"/>
      <c r="I17" s="180"/>
      <c r="J17" s="180"/>
      <c r="K17" s="180"/>
      <c r="L17" s="180"/>
      <c r="M17" s="180"/>
      <c r="N17" s="180"/>
      <c r="O17" s="180"/>
      <c r="P17" s="180"/>
      <c r="Q17" s="180"/>
    </row>
    <row r="18" spans="1:17" ht="17">
      <c r="A18" s="67"/>
      <c r="B18" s="67"/>
      <c r="C18" s="67"/>
      <c r="D18" s="67"/>
      <c r="E18" s="67"/>
      <c r="F18" s="67"/>
      <c r="G18" s="67"/>
      <c r="H18" s="67"/>
      <c r="I18" s="104"/>
      <c r="J18" s="194" t="s">
        <v>820</v>
      </c>
      <c r="K18" s="195"/>
      <c r="L18" s="195"/>
      <c r="M18" s="195"/>
      <c r="N18" s="195"/>
      <c r="O18" s="195"/>
      <c r="P18" s="195"/>
      <c r="Q18" s="196"/>
    </row>
    <row r="19" spans="1:17" ht="17">
      <c r="A19" s="72" t="s">
        <v>9</v>
      </c>
      <c r="B19" s="71" t="s">
        <v>803</v>
      </c>
      <c r="C19" s="72" t="s">
        <v>804</v>
      </c>
      <c r="D19" s="87"/>
      <c r="E19" s="87"/>
      <c r="F19" s="87"/>
      <c r="G19" s="87"/>
      <c r="H19" s="73"/>
      <c r="I19" s="67"/>
      <c r="J19" s="199" t="s">
        <v>821</v>
      </c>
      <c r="K19" s="200"/>
      <c r="L19" s="200"/>
      <c r="M19" s="200"/>
      <c r="N19" s="200"/>
      <c r="O19" s="200"/>
      <c r="P19" s="200"/>
      <c r="Q19" s="201"/>
    </row>
    <row r="20" spans="1:17" ht="17">
      <c r="A20" s="86" t="s">
        <v>64</v>
      </c>
      <c r="B20" s="88">
        <f>COUNTIF(FC온라인_Cases!I4:I220,"Critical")</f>
        <v>7</v>
      </c>
      <c r="C20" s="226">
        <f>IFERROR(B20/SUM($B$20:$B$23),0)</f>
        <v>0.1891891891891892</v>
      </c>
      <c r="D20" s="227"/>
      <c r="E20" s="227"/>
      <c r="F20" s="227"/>
      <c r="G20" s="227"/>
      <c r="H20" s="228"/>
      <c r="I20" s="67"/>
      <c r="J20" s="192" t="s">
        <v>822</v>
      </c>
      <c r="K20" s="169"/>
      <c r="L20" s="169"/>
      <c r="M20" s="169"/>
      <c r="N20" s="169"/>
      <c r="O20" s="169"/>
      <c r="P20" s="169"/>
      <c r="Q20" s="170"/>
    </row>
    <row r="21" spans="1:17" ht="17">
      <c r="A21" s="86" t="s">
        <v>15</v>
      </c>
      <c r="B21" s="88">
        <f>COUNTIF(FC온라인_Cases!I4:I220,"High")</f>
        <v>23</v>
      </c>
      <c r="C21" s="197">
        <f>IFERROR(B21/SUM($B$20:$B$23),0)</f>
        <v>0.6216216216216216</v>
      </c>
      <c r="D21" s="198"/>
      <c r="E21" s="198"/>
      <c r="F21" s="198"/>
      <c r="G21" s="198"/>
      <c r="H21" s="182"/>
      <c r="I21" s="67"/>
      <c r="J21" s="192" t="s">
        <v>823</v>
      </c>
      <c r="K21" s="169"/>
      <c r="L21" s="169"/>
      <c r="M21" s="169"/>
      <c r="N21" s="169"/>
      <c r="O21" s="169"/>
      <c r="P21" s="169"/>
      <c r="Q21" s="170"/>
    </row>
    <row r="22" spans="1:17" ht="17">
      <c r="A22" s="86" t="s">
        <v>16</v>
      </c>
      <c r="B22" s="89">
        <f>COUNTIF(FC온라인_Cases!I4:I220,"Medium")</f>
        <v>7</v>
      </c>
      <c r="C22" s="229">
        <f>IFERROR(B22/SUM($B$20:$B$23),0)</f>
        <v>0.1891891891891892</v>
      </c>
      <c r="D22" s="230"/>
      <c r="E22" s="230"/>
      <c r="F22" s="230"/>
      <c r="G22" s="230"/>
      <c r="H22" s="231"/>
      <c r="I22" s="67"/>
      <c r="J22" s="192" t="s">
        <v>824</v>
      </c>
      <c r="K22" s="169"/>
      <c r="L22" s="169"/>
      <c r="M22" s="169"/>
      <c r="N22" s="169"/>
      <c r="O22" s="169"/>
      <c r="P22" s="169"/>
      <c r="Q22" s="170"/>
    </row>
    <row r="23" spans="1:17" ht="17">
      <c r="A23" s="86" t="s">
        <v>805</v>
      </c>
      <c r="B23" s="89">
        <f>COUNTIF(FC온라인_Cases!I4:I220,"Low")</f>
        <v>0</v>
      </c>
      <c r="C23" s="174">
        <f>IFERROR(B23/SUM($B$20:$B$23),0)</f>
        <v>0</v>
      </c>
      <c r="D23" s="175"/>
      <c r="E23" s="175"/>
      <c r="F23" s="175"/>
      <c r="G23" s="175"/>
      <c r="H23" s="176"/>
      <c r="I23" s="67"/>
      <c r="J23" s="192" t="s">
        <v>825</v>
      </c>
      <c r="K23" s="169"/>
      <c r="L23" s="169"/>
      <c r="M23" s="169"/>
      <c r="N23" s="169"/>
      <c r="O23" s="169"/>
      <c r="P23" s="169"/>
      <c r="Q23" s="170"/>
    </row>
    <row r="24" spans="1:17" ht="17">
      <c r="A24" s="86" t="s">
        <v>802</v>
      </c>
      <c r="B24" s="74">
        <f>COUNTIF(FC온라인_Cases!I4:I220,"Critical")+COUNTIF(FC온라인_Cases!I4:I220,"High")+COUNTIF(FC온라인_Cases!I4:I220,"Medium")+COUNTIF(FC온라인_Cases!I4:I220,"Low")</f>
        <v>37</v>
      </c>
      <c r="C24" s="177">
        <v>1</v>
      </c>
      <c r="D24" s="178"/>
      <c r="E24" s="178"/>
      <c r="F24" s="178"/>
      <c r="G24" s="178"/>
      <c r="H24" s="179"/>
      <c r="I24" s="67"/>
      <c r="J24" s="193" t="s">
        <v>826</v>
      </c>
      <c r="K24" s="172"/>
      <c r="L24" s="172"/>
      <c r="M24" s="172"/>
      <c r="N24" s="172"/>
      <c r="O24" s="172"/>
      <c r="P24" s="172"/>
      <c r="Q24" s="173"/>
    </row>
    <row r="25" spans="1:17">
      <c r="A25" s="76"/>
      <c r="B25" s="70"/>
      <c r="C25" s="7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</row>
    <row r="26" spans="1:17" ht="16.5" customHeight="1">
      <c r="A26" s="180" t="s">
        <v>818</v>
      </c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  <c r="O26" s="180"/>
      <c r="P26" s="180"/>
      <c r="Q26" s="180"/>
    </row>
    <row r="27" spans="1:17">
      <c r="A27" s="180"/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</row>
    <row r="28" spans="1:17">
      <c r="A28" s="90"/>
      <c r="B28" s="90"/>
      <c r="C28" s="91"/>
      <c r="D28" s="92"/>
      <c r="E28" s="92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93"/>
    </row>
    <row r="29" spans="1:17" ht="15" customHeight="1">
      <c r="A29" s="74" t="s">
        <v>813</v>
      </c>
      <c r="B29" s="74" t="s">
        <v>4</v>
      </c>
      <c r="C29" s="86" t="s">
        <v>817</v>
      </c>
      <c r="D29" s="208" t="s">
        <v>814</v>
      </c>
      <c r="E29" s="209"/>
      <c r="F29" s="209"/>
      <c r="G29" s="209"/>
      <c r="H29" s="210"/>
      <c r="I29" s="67"/>
      <c r="J29" s="115" t="s">
        <v>841</v>
      </c>
      <c r="K29" s="67"/>
      <c r="L29" s="67"/>
      <c r="M29" s="67"/>
      <c r="N29" s="67"/>
      <c r="O29" s="67"/>
      <c r="P29" s="67"/>
      <c r="Q29" s="67"/>
    </row>
    <row r="30" spans="1:17" ht="17">
      <c r="A30" s="94">
        <v>1</v>
      </c>
      <c r="B30" s="95" t="s">
        <v>30</v>
      </c>
      <c r="C30" s="96" cm="1">
        <f t="array" ref="C30">SUMPRODUCT((LOOKUP(ROW(FC온라인_Cases!$D$4:$D$220),ROW(FC온라인_Cases!$D$4:$D$220)/(FC온라인_Cases!$D$4:$D$220&lt;&gt;""),FC온라인_Cases!$D$4:$D$220)=B30)*(FC온라인_Cases!$L$4:$L$220&lt;&gt;""))</f>
        <v>6</v>
      </c>
      <c r="D30" s="197">
        <f>IFERROR(C30/$C$47,0)</f>
        <v>2.7649769585253458E-2</v>
      </c>
      <c r="E30" s="198"/>
      <c r="F30" s="198"/>
      <c r="G30" s="198"/>
      <c r="H30" s="182"/>
      <c r="I30" s="67"/>
      <c r="J30" s="185" t="s">
        <v>827</v>
      </c>
      <c r="K30" s="82" t="s">
        <v>832</v>
      </c>
      <c r="L30" s="188" t="s">
        <v>831</v>
      </c>
      <c r="M30" s="188"/>
      <c r="N30" s="189"/>
      <c r="O30" s="67"/>
      <c r="P30" s="67"/>
      <c r="Q30" s="67"/>
    </row>
    <row r="31" spans="1:17" ht="17">
      <c r="A31" s="97">
        <v>2</v>
      </c>
      <c r="B31" s="98" t="s">
        <v>22</v>
      </c>
      <c r="C31" s="99" cm="1">
        <f t="array" ref="C31">SUMPRODUCT((LOOKUP(ROW(FC온라인_Cases!$D$4:$D$220),ROW(FC온라인_Cases!$D$4:$D$220)/(FC온라인_Cases!$D$4:$D$220&lt;&gt;""),FC온라인_Cases!$D$4:$D$220)=B31)*(FC온라인_Cases!$L$4:$L$220&lt;&gt;""))</f>
        <v>7</v>
      </c>
      <c r="D31" s="181">
        <f t="shared" ref="D31:D46" si="0">IFERROR(C31/$C$47,0)</f>
        <v>3.2258064516129031E-2</v>
      </c>
      <c r="E31" s="182"/>
      <c r="F31" s="182"/>
      <c r="G31" s="182"/>
      <c r="H31" s="182"/>
      <c r="I31" s="67"/>
      <c r="J31" s="186"/>
      <c r="K31" s="107" t="s">
        <v>833</v>
      </c>
      <c r="L31" s="190" t="s">
        <v>834</v>
      </c>
      <c r="M31" s="190"/>
      <c r="N31" s="191"/>
      <c r="O31" s="67"/>
      <c r="P31" s="67"/>
      <c r="Q31" s="67"/>
    </row>
    <row r="32" spans="1:17" ht="16">
      <c r="A32" s="97">
        <v>3</v>
      </c>
      <c r="B32" s="98" t="s">
        <v>36</v>
      </c>
      <c r="C32" s="99" cm="1">
        <f t="array" ref="C32">SUMPRODUCT((LOOKUP(ROW(FC온라인_Cases!$D$4:$D$220),ROW(FC온라인_Cases!$D$4:$D$220)/(FC온라인_Cases!$D$4:$D$220&lt;&gt;""),FC온라인_Cases!$D$4:$D$220)=B32)*(FC온라인_Cases!$L$4:$L$220&lt;&gt;""))</f>
        <v>7</v>
      </c>
      <c r="D32" s="181">
        <f t="shared" si="0"/>
        <v>3.2258064516129031E-2</v>
      </c>
      <c r="E32" s="182"/>
      <c r="F32" s="182"/>
      <c r="G32" s="182"/>
      <c r="H32" s="182"/>
      <c r="I32" s="67"/>
      <c r="J32" s="186"/>
      <c r="K32" s="107" t="s">
        <v>835</v>
      </c>
      <c r="L32" s="190" t="s">
        <v>836</v>
      </c>
      <c r="M32" s="190"/>
      <c r="N32" s="191"/>
      <c r="O32" s="67"/>
      <c r="P32" s="67"/>
      <c r="Q32" s="67"/>
    </row>
    <row r="33" spans="1:17" ht="16">
      <c r="A33" s="97">
        <v>4</v>
      </c>
      <c r="B33" s="98" t="s">
        <v>42</v>
      </c>
      <c r="C33" s="99" cm="1">
        <f t="array" ref="C33">SUMPRODUCT((LOOKUP(ROW(FC온라인_Cases!$D$4:$D$220),ROW(FC온라인_Cases!$D$4:$D$220)/(FC온라인_Cases!$D$4:$D$220&lt;&gt;""),FC온라인_Cases!$D$4:$D$220)=B33)*(FC온라인_Cases!$L$4:$L$220&lt;&gt;""))</f>
        <v>6</v>
      </c>
      <c r="D33" s="181">
        <f t="shared" si="0"/>
        <v>2.7649769585253458E-2</v>
      </c>
      <c r="E33" s="182"/>
      <c r="F33" s="182"/>
      <c r="G33" s="182"/>
      <c r="H33" s="182"/>
      <c r="I33" s="67"/>
      <c r="J33" s="186"/>
      <c r="K33" s="107" t="s">
        <v>839</v>
      </c>
      <c r="L33" s="190" t="s">
        <v>842</v>
      </c>
      <c r="M33" s="190"/>
      <c r="N33" s="191"/>
      <c r="O33" s="67"/>
      <c r="P33" s="67"/>
      <c r="Q33" s="67"/>
    </row>
    <row r="34" spans="1:17" ht="15" customHeight="1">
      <c r="A34" s="97">
        <v>5</v>
      </c>
      <c r="B34" s="98" t="s">
        <v>43</v>
      </c>
      <c r="C34" s="99" cm="1">
        <f t="array" ref="C34">SUMPRODUCT((LOOKUP(ROW(FC온라인_Cases!$D$4:$D$220),ROW(FC온라인_Cases!$D$4:$D$220)/(FC온라인_Cases!$D$4:$D$220&lt;&gt;""),FC온라인_Cases!$D$4:$D$220)=B34)*(FC온라인_Cases!$L$4:$L$220&lt;&gt;""))</f>
        <v>13</v>
      </c>
      <c r="D34" s="181">
        <f t="shared" si="0"/>
        <v>5.9907834101382486E-2</v>
      </c>
      <c r="E34" s="182"/>
      <c r="F34" s="182"/>
      <c r="G34" s="182"/>
      <c r="H34" s="182"/>
      <c r="I34" s="67"/>
      <c r="J34" s="186"/>
      <c r="K34" s="107" t="s">
        <v>837</v>
      </c>
      <c r="L34" s="190" t="s">
        <v>838</v>
      </c>
      <c r="M34" s="190"/>
      <c r="N34" s="191"/>
      <c r="O34" s="67"/>
      <c r="P34" s="67"/>
      <c r="Q34" s="67"/>
    </row>
    <row r="35" spans="1:17" ht="16">
      <c r="A35" s="97">
        <v>6</v>
      </c>
      <c r="B35" s="98" t="s">
        <v>26</v>
      </c>
      <c r="C35" s="99" cm="1">
        <f t="array" ref="C35">SUMPRODUCT((LOOKUP(ROW(FC온라인_Cases!$D$4:$D$220),ROW(FC온라인_Cases!$D$4:$D$220)/(FC온라인_Cases!$D$4:$D$220&lt;&gt;""),FC온라인_Cases!$D$4:$D$220)=B35)*(FC온라인_Cases!$L$4:$L$220&lt;&gt;""))</f>
        <v>24</v>
      </c>
      <c r="D35" s="181">
        <f t="shared" si="0"/>
        <v>0.11059907834101383</v>
      </c>
      <c r="E35" s="182"/>
      <c r="F35" s="182"/>
      <c r="G35" s="182"/>
      <c r="H35" s="182"/>
      <c r="I35" s="67"/>
      <c r="J35" s="187"/>
      <c r="K35" s="108"/>
      <c r="L35" s="109"/>
      <c r="M35" s="109"/>
      <c r="N35" s="110"/>
      <c r="O35" s="67"/>
      <c r="P35" s="67"/>
      <c r="Q35" s="67"/>
    </row>
    <row r="36" spans="1:17" ht="17">
      <c r="A36" s="97">
        <v>7</v>
      </c>
      <c r="B36" s="98" t="s">
        <v>53</v>
      </c>
      <c r="C36" s="99" cm="1">
        <f t="array" ref="C36">SUMPRODUCT((LOOKUP(ROW(FC온라인_Cases!$D$4:$D$220),ROW(FC온라인_Cases!$D$4:$D$220)/(FC온라인_Cases!$D$4:$D$220&lt;&gt;""),FC온라인_Cases!$D$4:$D$220)=B36)*(FC온라인_Cases!$L$4:$L$220&lt;&gt;""))</f>
        <v>8</v>
      </c>
      <c r="D36" s="181">
        <f t="shared" si="0"/>
        <v>3.6866359447004608E-2</v>
      </c>
      <c r="E36" s="182"/>
      <c r="F36" s="182"/>
      <c r="G36" s="182"/>
      <c r="H36" s="182"/>
      <c r="I36" s="67"/>
      <c r="J36" s="111" t="s">
        <v>828</v>
      </c>
      <c r="K36" s="183" t="s">
        <v>830</v>
      </c>
      <c r="L36" s="183"/>
      <c r="M36" s="183"/>
      <c r="N36" s="183"/>
      <c r="O36" s="67"/>
      <c r="P36" s="67"/>
      <c r="Q36" s="67"/>
    </row>
    <row r="37" spans="1:17" ht="17">
      <c r="A37" s="97">
        <v>8</v>
      </c>
      <c r="B37" s="98" t="s">
        <v>56</v>
      </c>
      <c r="C37" s="99" cm="1">
        <f t="array" ref="C37">SUMPRODUCT((LOOKUP(ROW(FC온라인_Cases!$D$4:$D$220),ROW(FC온라인_Cases!$D$4:$D$220)/(FC온라인_Cases!$D$4:$D$220&lt;&gt;""),FC온라인_Cases!$D$4:$D$220)=B37)*(FC온라인_Cases!$L$4:$L$220&lt;&gt;""))</f>
        <v>13</v>
      </c>
      <c r="D37" s="181">
        <f t="shared" si="0"/>
        <v>5.9907834101382486E-2</v>
      </c>
      <c r="E37" s="182"/>
      <c r="F37" s="182"/>
      <c r="G37" s="182"/>
      <c r="H37" s="182"/>
      <c r="I37" s="67"/>
      <c r="J37" s="111" t="s">
        <v>829</v>
      </c>
      <c r="K37" s="183" t="s">
        <v>840</v>
      </c>
      <c r="L37" s="184"/>
      <c r="M37" s="184"/>
      <c r="N37" s="184"/>
      <c r="O37" s="67"/>
      <c r="P37" s="67"/>
      <c r="Q37" s="67"/>
    </row>
    <row r="38" spans="1:17" ht="16">
      <c r="A38" s="97">
        <v>9</v>
      </c>
      <c r="B38" s="98" t="s">
        <v>27</v>
      </c>
      <c r="C38" s="99" cm="1">
        <f t="array" ref="C38">SUMPRODUCT((LOOKUP(ROW(FC온라인_Cases!$D$4:$D$220),ROW(FC온라인_Cases!$D$4:$D$220)/(FC온라인_Cases!$D$4:$D$220&lt;&gt;""),FC온라인_Cases!$D$4:$D$220)=B38)*(FC온라인_Cases!$L$4:$L$220&lt;&gt;""))</f>
        <v>20</v>
      </c>
      <c r="D38" s="181">
        <f t="shared" si="0"/>
        <v>9.2165898617511524E-2</v>
      </c>
      <c r="E38" s="182"/>
      <c r="F38" s="182"/>
      <c r="G38" s="182"/>
      <c r="H38" s="182"/>
      <c r="I38" s="67"/>
      <c r="J38" s="93"/>
      <c r="K38" s="93"/>
      <c r="L38" s="93"/>
      <c r="M38" s="93"/>
      <c r="N38" s="93"/>
      <c r="O38" s="67"/>
      <c r="P38" s="67"/>
      <c r="Q38" s="67"/>
    </row>
    <row r="39" spans="1:17" ht="16">
      <c r="A39" s="97">
        <v>10</v>
      </c>
      <c r="B39" s="98" t="s">
        <v>76</v>
      </c>
      <c r="C39" s="99" cm="1">
        <f t="array" ref="C39">SUMPRODUCT((LOOKUP(ROW(FC온라인_Cases!$D$4:$D$220),ROW(FC온라인_Cases!$D$4:$D$220)/(FC온라인_Cases!$D$4:$D$220&lt;&gt;""),FC온라인_Cases!$D$4:$D$220)=B39)*(FC온라인_Cases!$L$4:$L$220&lt;&gt;""))</f>
        <v>12</v>
      </c>
      <c r="D39" s="181">
        <f t="shared" si="0"/>
        <v>5.5299539170506916E-2</v>
      </c>
      <c r="E39" s="182"/>
      <c r="F39" s="182"/>
      <c r="G39" s="182"/>
      <c r="H39" s="182"/>
      <c r="I39" s="67"/>
      <c r="J39" s="93"/>
      <c r="K39" s="93"/>
      <c r="L39" s="93"/>
      <c r="M39" s="93"/>
      <c r="N39" s="93"/>
      <c r="O39" s="67"/>
      <c r="P39" s="67"/>
      <c r="Q39" s="67"/>
    </row>
    <row r="40" spans="1:17" ht="16">
      <c r="A40" s="97">
        <v>11</v>
      </c>
      <c r="B40" s="98" t="s">
        <v>41</v>
      </c>
      <c r="C40" s="99" cm="1">
        <f t="array" ref="C40">SUMPRODUCT((LOOKUP(ROW(FC온라인_Cases!$D$4:$D$220),ROW(FC온라인_Cases!$D$4:$D$220)/(FC온라인_Cases!$D$4:$D$220&lt;&gt;""),FC온라인_Cases!$D$4:$D$220)=B40)*(FC온라인_Cases!$L$4:$L$220&lt;&gt;""))</f>
        <v>6</v>
      </c>
      <c r="D40" s="181">
        <f t="shared" si="0"/>
        <v>2.7649769585253458E-2</v>
      </c>
      <c r="E40" s="182"/>
      <c r="F40" s="182"/>
      <c r="G40" s="182"/>
      <c r="H40" s="182"/>
      <c r="I40" s="67"/>
      <c r="J40" s="93"/>
      <c r="K40" s="93"/>
      <c r="L40" s="93"/>
      <c r="M40" s="93"/>
      <c r="N40" s="93"/>
      <c r="O40" s="67"/>
      <c r="P40" s="67"/>
      <c r="Q40" s="67"/>
    </row>
    <row r="41" spans="1:17" ht="16">
      <c r="A41" s="97">
        <v>12</v>
      </c>
      <c r="B41" s="98" t="s">
        <v>29</v>
      </c>
      <c r="C41" s="99" cm="1">
        <f t="array" ref="C41">SUMPRODUCT((LOOKUP(ROW(FC온라인_Cases!$D$4:$D$220),ROW(FC온라인_Cases!$D$4:$D$220)/(FC온라인_Cases!$D$4:$D$220&lt;&gt;""),FC온라인_Cases!$D$4:$D$220)=B41)*(FC온라인_Cases!$L$4:$L$220&lt;&gt;""))</f>
        <v>19</v>
      </c>
      <c r="D41" s="181">
        <f t="shared" si="0"/>
        <v>8.755760368663594E-2</v>
      </c>
      <c r="E41" s="182"/>
      <c r="F41" s="182"/>
      <c r="G41" s="182"/>
      <c r="H41" s="182"/>
      <c r="I41" s="67"/>
      <c r="J41" s="93"/>
      <c r="K41" s="93"/>
      <c r="L41" s="93"/>
      <c r="M41" s="93"/>
      <c r="N41" s="93"/>
      <c r="O41" s="67"/>
      <c r="P41" s="67"/>
      <c r="Q41" s="67"/>
    </row>
    <row r="42" spans="1:17" ht="16">
      <c r="A42" s="97">
        <v>13</v>
      </c>
      <c r="B42" s="98" t="s">
        <v>108</v>
      </c>
      <c r="C42" s="99" cm="1">
        <f t="array" ref="C42">SUMPRODUCT((LOOKUP(ROW(FC온라인_Cases!$D$4:$D$220),ROW(FC온라인_Cases!$D$4:$D$220)/(FC온라인_Cases!$D$4:$D$220&lt;&gt;""),FC온라인_Cases!$D$4:$D$220)=B42)*(FC온라인_Cases!$L$4:$L$220&lt;&gt;""))</f>
        <v>15</v>
      </c>
      <c r="D42" s="181">
        <f t="shared" si="0"/>
        <v>6.9124423963133647E-2</v>
      </c>
      <c r="E42" s="182"/>
      <c r="F42" s="182"/>
      <c r="G42" s="182"/>
      <c r="H42" s="182"/>
      <c r="I42" s="67"/>
      <c r="J42" s="93"/>
      <c r="K42" s="93"/>
      <c r="L42" s="93"/>
      <c r="M42" s="93"/>
      <c r="N42" s="93"/>
      <c r="O42" s="67"/>
      <c r="P42" s="67"/>
      <c r="Q42" s="67"/>
    </row>
    <row r="43" spans="1:17" ht="15" customHeight="1">
      <c r="A43" s="97">
        <v>14</v>
      </c>
      <c r="B43" s="98" t="s">
        <v>121</v>
      </c>
      <c r="C43" s="99" cm="1">
        <f t="array" ref="C43">SUMPRODUCT((LOOKUP(ROW(FC온라인_Cases!$D$4:$D$220),ROW(FC온라인_Cases!$D$4:$D$220)/(FC온라인_Cases!$D$4:$D$220&lt;&gt;""),FC온라인_Cases!$D$4:$D$220)=B43)*(FC온라인_Cases!$L$4:$L$220&lt;&gt;""))</f>
        <v>23</v>
      </c>
      <c r="D43" s="181">
        <f t="shared" si="0"/>
        <v>0.10599078341013825</v>
      </c>
      <c r="E43" s="182"/>
      <c r="F43" s="182"/>
      <c r="G43" s="182"/>
      <c r="H43" s="182"/>
      <c r="I43" s="67"/>
      <c r="J43" s="93"/>
      <c r="K43" s="93"/>
      <c r="L43" s="93"/>
      <c r="M43" s="93"/>
      <c r="N43" s="93"/>
      <c r="O43" s="67"/>
      <c r="P43" s="67"/>
      <c r="Q43" s="67"/>
    </row>
    <row r="44" spans="1:17" ht="16">
      <c r="A44" s="97">
        <v>15</v>
      </c>
      <c r="B44" s="98" t="s">
        <v>815</v>
      </c>
      <c r="C44" s="99" cm="1">
        <f t="array" ref="C44">SUMPRODUCT((LOOKUP(ROW(FC온라인_Cases!$D$4:$D$220),ROW(FC온라인_Cases!$D$4:$D$220)/(FC온라인_Cases!$D$4:$D$220&lt;&gt;""),FC온라인_Cases!$D$4:$D$220)=B44)*(FC온라인_Cases!$L$4:$L$220&lt;&gt;""))</f>
        <v>6</v>
      </c>
      <c r="D44" s="181">
        <f t="shared" si="0"/>
        <v>2.7649769585253458E-2</v>
      </c>
      <c r="E44" s="182"/>
      <c r="F44" s="182"/>
      <c r="G44" s="182"/>
      <c r="H44" s="182"/>
      <c r="I44" s="67"/>
      <c r="J44" s="93"/>
      <c r="K44" s="93"/>
      <c r="L44" s="93"/>
      <c r="M44" s="93"/>
      <c r="N44" s="93"/>
      <c r="O44" s="67"/>
      <c r="P44" s="67"/>
      <c r="Q44" s="67"/>
    </row>
    <row r="45" spans="1:17" ht="15" customHeight="1">
      <c r="A45" s="97">
        <v>16</v>
      </c>
      <c r="B45" s="98" t="s">
        <v>666</v>
      </c>
      <c r="C45" s="99" cm="1">
        <f t="array" ref="C45">SUMPRODUCT((LOOKUP(ROW(FC온라인_Cases!$D$4:$D$220),ROW(FC온라인_Cases!$D$4:$D$220)/(FC온라인_Cases!$D$4:$D$220&lt;&gt;""),FC온라인_Cases!$D$4:$D$220)=B45)*(FC온라인_Cases!$L$4:$L$220&lt;&gt;""))</f>
        <v>8</v>
      </c>
      <c r="D45" s="181">
        <f t="shared" si="0"/>
        <v>3.6866359447004608E-2</v>
      </c>
      <c r="E45" s="182"/>
      <c r="F45" s="182"/>
      <c r="G45" s="182"/>
      <c r="H45" s="182"/>
      <c r="I45" s="67"/>
      <c r="J45" s="93"/>
      <c r="K45" s="93"/>
      <c r="L45" s="93"/>
      <c r="M45" s="93"/>
      <c r="N45" s="93"/>
      <c r="O45" s="67"/>
      <c r="P45" s="67"/>
      <c r="Q45" s="67"/>
    </row>
    <row r="46" spans="1:17" ht="16">
      <c r="A46" s="97">
        <v>17</v>
      </c>
      <c r="B46" s="98" t="s">
        <v>816</v>
      </c>
      <c r="C46" s="99" cm="1">
        <f t="array" ref="C46">SUMPRODUCT((LOOKUP(ROW(FC온라인_Cases!$D$4:$D$220),ROW(FC온라인_Cases!$D$4:$D$220)/(FC온라인_Cases!$D$4:$D$220&lt;&gt;""),FC온라인_Cases!$D$4:$D$220)=B46)*(FC온라인_Cases!$L$4:$L$220&lt;&gt;""))</f>
        <v>24</v>
      </c>
      <c r="D46" s="174">
        <f t="shared" si="0"/>
        <v>0.11059907834101383</v>
      </c>
      <c r="E46" s="175"/>
      <c r="F46" s="175"/>
      <c r="G46" s="175"/>
      <c r="H46" s="176"/>
      <c r="I46" s="67"/>
      <c r="J46" s="93"/>
      <c r="K46" s="93"/>
      <c r="L46" s="93"/>
      <c r="M46" s="93"/>
      <c r="N46" s="93"/>
      <c r="O46" s="67"/>
      <c r="P46" s="67"/>
      <c r="Q46" s="67"/>
    </row>
    <row r="47" spans="1:17" ht="16">
      <c r="A47" s="74" t="s">
        <v>802</v>
      </c>
      <c r="B47" s="100"/>
      <c r="C47" s="74">
        <v>217</v>
      </c>
      <c r="D47" s="177">
        <v>1</v>
      </c>
      <c r="E47" s="178"/>
      <c r="F47" s="178"/>
      <c r="G47" s="178"/>
      <c r="H47" s="179"/>
      <c r="I47" s="67"/>
      <c r="J47" s="67"/>
      <c r="K47" s="67"/>
      <c r="L47" s="67"/>
      <c r="M47" s="67"/>
      <c r="N47" s="67"/>
      <c r="O47" s="67"/>
      <c r="P47" s="67"/>
      <c r="Q47" s="67"/>
    </row>
    <row r="48" spans="1:17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</row>
    <row r="49" spans="1:17" ht="15" customHeight="1">
      <c r="A49" s="112"/>
      <c r="B49" s="113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</row>
    <row r="50" spans="1:17">
      <c r="A50" s="113"/>
      <c r="B50" s="113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</row>
    <row r="51" spans="1:17">
      <c r="A51" s="114"/>
      <c r="B51" s="114"/>
      <c r="C51" s="114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114"/>
      <c r="P51" s="114"/>
      <c r="Q51" s="114"/>
    </row>
    <row r="52" spans="1:17">
      <c r="A52" s="114"/>
      <c r="B52" s="114"/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</row>
    <row r="53" spans="1:17">
      <c r="A53" s="114"/>
      <c r="B53" s="114"/>
      <c r="C53" s="114"/>
      <c r="D53" s="114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</row>
    <row r="54" spans="1:17">
      <c r="A54" s="114"/>
      <c r="B54" s="114"/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</row>
    <row r="55" spans="1:17">
      <c r="A55" s="114"/>
      <c r="B55" s="114"/>
      <c r="C55" s="114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</row>
    <row r="56" spans="1:17">
      <c r="A56" s="114"/>
      <c r="B56" s="114"/>
      <c r="C56" s="114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</row>
    <row r="57" spans="1:17">
      <c r="A57" s="114"/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</row>
    <row r="58" spans="1:17">
      <c r="A58" s="114"/>
      <c r="B58" s="114"/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4"/>
      <c r="Q58" s="114"/>
    </row>
    <row r="59" spans="1:17">
      <c r="A59" s="114"/>
      <c r="B59" s="114"/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4"/>
    </row>
    <row r="60" spans="1:17">
      <c r="A60" s="114"/>
      <c r="B60" s="114"/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</row>
    <row r="61" spans="1:17">
      <c r="A61" s="114"/>
      <c r="B61" s="114"/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4"/>
    </row>
    <row r="62" spans="1:17">
      <c r="A62" s="114"/>
      <c r="B62" s="114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</row>
    <row r="63" spans="1:17">
      <c r="A63" s="114"/>
      <c r="B63" s="114"/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4"/>
    </row>
    <row r="64" spans="1:17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4"/>
      <c r="N64" s="114"/>
      <c r="O64" s="114"/>
      <c r="P64" s="114"/>
      <c r="Q64" s="114"/>
    </row>
    <row r="65" spans="1:17">
      <c r="A65" s="114"/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4"/>
      <c r="Q65" s="114"/>
    </row>
    <row r="66" spans="1:17">
      <c r="A66" s="114"/>
      <c r="B66" s="114"/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114"/>
      <c r="P66" s="114"/>
      <c r="Q66" s="114"/>
    </row>
    <row r="67" spans="1:17">
      <c r="A67" s="114"/>
      <c r="B67" s="114"/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O67" s="114"/>
      <c r="P67" s="114"/>
      <c r="Q67" s="114"/>
    </row>
    <row r="68" spans="1:17">
      <c r="A68" s="114"/>
      <c r="B68" s="114"/>
      <c r="C68" s="114"/>
      <c r="D68" s="114"/>
      <c r="E68" s="114"/>
      <c r="F68" s="114"/>
      <c r="G68" s="114"/>
      <c r="H68" s="114"/>
      <c r="I68" s="114"/>
      <c r="J68" s="114"/>
      <c r="K68" s="114"/>
      <c r="L68" s="114"/>
      <c r="M68" s="114"/>
      <c r="N68" s="114"/>
      <c r="O68" s="114"/>
      <c r="P68" s="114"/>
      <c r="Q68" s="114"/>
    </row>
    <row r="69" spans="1:17">
      <c r="A69" s="114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4"/>
    </row>
    <row r="70" spans="1:17">
      <c r="A70" s="114"/>
      <c r="B70" s="114"/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114"/>
      <c r="P70" s="114"/>
      <c r="Q70" s="114"/>
    </row>
    <row r="71" spans="1:17">
      <c r="A71" s="114"/>
      <c r="B71" s="114"/>
      <c r="C71" s="114"/>
      <c r="D71" s="114"/>
      <c r="E71" s="114"/>
      <c r="F71" s="114"/>
      <c r="G71" s="114"/>
      <c r="H71" s="114"/>
      <c r="I71" s="114"/>
      <c r="J71" s="114"/>
      <c r="K71" s="114"/>
      <c r="L71" s="114"/>
      <c r="M71" s="114"/>
      <c r="N71" s="114"/>
      <c r="O71" s="114"/>
      <c r="P71" s="114"/>
      <c r="Q71" s="114"/>
    </row>
    <row r="72" spans="1:17">
      <c r="A72" s="114"/>
      <c r="B72" s="114"/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14"/>
      <c r="N72" s="114"/>
      <c r="O72" s="114"/>
      <c r="P72" s="114"/>
      <c r="Q72" s="114"/>
    </row>
    <row r="73" spans="1:17">
      <c r="A73" s="114"/>
      <c r="B73" s="114"/>
      <c r="C73" s="114"/>
      <c r="D73" s="114"/>
      <c r="E73" s="114"/>
      <c r="F73" s="114"/>
      <c r="G73" s="114"/>
      <c r="H73" s="114"/>
      <c r="I73" s="114"/>
      <c r="J73" s="114"/>
      <c r="K73" s="114"/>
      <c r="L73" s="114"/>
      <c r="M73" s="114"/>
      <c r="N73" s="114"/>
      <c r="O73" s="114"/>
      <c r="P73" s="114"/>
      <c r="Q73" s="114"/>
    </row>
    <row r="74" spans="1:17">
      <c r="A74" s="114"/>
      <c r="B74" s="114"/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114"/>
      <c r="P74" s="114"/>
      <c r="Q74" s="114"/>
    </row>
    <row r="75" spans="1:17">
      <c r="A75" s="114"/>
      <c r="B75" s="114"/>
      <c r="C75" s="114"/>
      <c r="D75" s="114"/>
      <c r="E75" s="114"/>
      <c r="F75" s="114"/>
      <c r="G75" s="114"/>
      <c r="H75" s="114"/>
      <c r="I75" s="114"/>
      <c r="J75" s="114"/>
      <c r="K75" s="114"/>
      <c r="L75" s="114"/>
      <c r="M75" s="114"/>
      <c r="N75" s="114"/>
      <c r="O75" s="114"/>
      <c r="P75" s="114"/>
      <c r="Q75" s="114"/>
    </row>
  </sheetData>
  <mergeCells count="55">
    <mergeCell ref="A1:Q4"/>
    <mergeCell ref="A5:Q5"/>
    <mergeCell ref="K8:Q8"/>
    <mergeCell ref="D29:H29"/>
    <mergeCell ref="B8:G8"/>
    <mergeCell ref="B9:G9"/>
    <mergeCell ref="B10:G10"/>
    <mergeCell ref="B11:G11"/>
    <mergeCell ref="B12:G12"/>
    <mergeCell ref="K9:Q9"/>
    <mergeCell ref="C23:H23"/>
    <mergeCell ref="C24:H24"/>
    <mergeCell ref="C20:H20"/>
    <mergeCell ref="C21:H21"/>
    <mergeCell ref="C22:H22"/>
    <mergeCell ref="A16:Q17"/>
    <mergeCell ref="J18:Q18"/>
    <mergeCell ref="D40:H40"/>
    <mergeCell ref="D41:H41"/>
    <mergeCell ref="D42:H42"/>
    <mergeCell ref="D35:H35"/>
    <mergeCell ref="D36:H36"/>
    <mergeCell ref="D37:H37"/>
    <mergeCell ref="D39:H39"/>
    <mergeCell ref="D38:H38"/>
    <mergeCell ref="D30:H30"/>
    <mergeCell ref="D31:H31"/>
    <mergeCell ref="D32:H32"/>
    <mergeCell ref="D33:H33"/>
    <mergeCell ref="D34:H34"/>
    <mergeCell ref="J19:Q19"/>
    <mergeCell ref="J20:Q20"/>
    <mergeCell ref="J21:Q21"/>
    <mergeCell ref="J22:Q22"/>
    <mergeCell ref="J23:Q23"/>
    <mergeCell ref="J24:Q24"/>
    <mergeCell ref="D45:H45"/>
    <mergeCell ref="D46:H46"/>
    <mergeCell ref="D47:H47"/>
    <mergeCell ref="A26:Q27"/>
    <mergeCell ref="D43:H43"/>
    <mergeCell ref="D44:H44"/>
    <mergeCell ref="K36:N36"/>
    <mergeCell ref="K37:N37"/>
    <mergeCell ref="J30:J35"/>
    <mergeCell ref="L30:N30"/>
    <mergeCell ref="L31:N31"/>
    <mergeCell ref="L32:N32"/>
    <mergeCell ref="L33:N33"/>
    <mergeCell ref="L34:N34"/>
    <mergeCell ref="K10:Q10"/>
    <mergeCell ref="K11:Q11"/>
    <mergeCell ref="K12:Q12"/>
    <mergeCell ref="K13:Q13"/>
    <mergeCell ref="K14:Q14"/>
  </mergeCells>
  <phoneticPr fontId="6" type="noConversion"/>
  <conditionalFormatting sqref="B8:B10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{88D3DE79-293F-42B8-B532-F2CFFDE1D436}</x14:id>
        </ext>
      </extLst>
    </cfRule>
  </conditionalFormatting>
  <conditionalFormatting sqref="B8:B1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{58C31006-5392-4C45-8944-892F16D784FA}</x14:id>
        </ext>
      </extLst>
    </cfRule>
  </conditionalFormatting>
  <conditionalFormatting sqref="B11:B12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{D6174A03-254F-46B6-9297-61790309C7D6}</x14:id>
        </ext>
      </extLst>
    </cfRule>
  </conditionalFormatting>
  <conditionalFormatting sqref="B8:G1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{20603D36-4A7F-4FFB-9C73-26E0F862FB22}</x14:id>
        </ext>
      </extLst>
    </cfRule>
  </conditionalFormatting>
  <conditionalFormatting sqref="C20:C2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{2FAAE2A4-84A4-4B56-8B67-E62A7D4AD806}</x14:id>
        </ext>
      </extLst>
    </cfRule>
  </conditionalFormatting>
  <conditionalFormatting sqref="C20:H23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{25667AF9-B1D1-4A10-95E6-BD33769C4688}</x14:id>
        </ext>
      </extLst>
    </cfRule>
  </conditionalFormatting>
  <conditionalFormatting sqref="C24:H2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{8EF95C60-837E-4913-8924-7E10B53F8F41}</x14:id>
        </ext>
      </extLst>
    </cfRule>
  </conditionalFormatting>
  <conditionalFormatting sqref="D30:D4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{40FD6FED-297A-40D6-A88E-01D58A479493}</x14:id>
        </ext>
      </extLst>
    </cfRule>
  </conditionalFormatting>
  <conditionalFormatting sqref="D30:H4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{A77C24C5-D1E7-49C8-8F06-D6F310925B9C}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D3DE79-293F-42B8-B532-F2CFFDE1D4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B8:B10</xm:sqref>
        </x14:conditionalFormatting>
        <x14:conditionalFormatting xmlns:xm="http://schemas.microsoft.com/office/excel/2006/main">
          <x14:cfRule type="dataBar" id="{58C31006-5392-4C45-8944-892F16D784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B8:B11</xm:sqref>
        </x14:conditionalFormatting>
        <x14:conditionalFormatting xmlns:xm="http://schemas.microsoft.com/office/excel/2006/main">
          <x14:cfRule type="dataBar" id="{D6174A03-254F-46B6-9297-61790309C7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B11:B12</xm:sqref>
        </x14:conditionalFormatting>
        <x14:conditionalFormatting xmlns:xm="http://schemas.microsoft.com/office/excel/2006/main">
          <x14:cfRule type="dataBar" id="{20603D36-4A7F-4FFB-9C73-26E0F862FB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B8:G10</xm:sqref>
        </x14:conditionalFormatting>
        <x14:conditionalFormatting xmlns:xm="http://schemas.microsoft.com/office/excel/2006/main">
          <x14:cfRule type="dataBar" id="{2FAAE2A4-84A4-4B56-8B67-E62A7D4AD8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C20:C23</xm:sqref>
        </x14:conditionalFormatting>
        <x14:conditionalFormatting xmlns:xm="http://schemas.microsoft.com/office/excel/2006/main">
          <x14:cfRule type="dataBar" id="{25667AF9-B1D1-4A10-95E6-BD33769C46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C20:H23</xm:sqref>
        </x14:conditionalFormatting>
        <x14:conditionalFormatting xmlns:xm="http://schemas.microsoft.com/office/excel/2006/main">
          <x14:cfRule type="dataBar" id="{8EF95C60-837E-4913-8924-7E10B53F8F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C24:H24</xm:sqref>
        </x14:conditionalFormatting>
        <x14:conditionalFormatting xmlns:xm="http://schemas.microsoft.com/office/excel/2006/main">
          <x14:cfRule type="dataBar" id="{40FD6FED-297A-40D6-A88E-01D58A4794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D30:D46</xm:sqref>
        </x14:conditionalFormatting>
        <x14:conditionalFormatting xmlns:xm="http://schemas.microsoft.com/office/excel/2006/main">
          <x14:cfRule type="dataBar" id="{A77C24C5-D1E7-49C8-8F06-D6F310925B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D30:H46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Overview</vt:lpstr>
      <vt:lpstr>FC온라인_Cases</vt:lpstr>
      <vt:lpstr>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하민철</cp:lastModifiedBy>
  <dcterms:modified xsi:type="dcterms:W3CDTF">2026-07-18T06:23:10Z</dcterms:modified>
</cp:coreProperties>
</file>